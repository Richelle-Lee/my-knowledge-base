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D39EEFE-4549-47AB-AB23-A4E72F73F83C}" xr6:coauthVersionLast="47" xr6:coauthVersionMax="47" xr10:uidLastSave="{00000000-0000-0000-0000-000000000000}"/>
  <bookViews>
    <workbookView xWindow="735" yWindow="735" windowWidth="27000" windowHeight="15645" tabRatio="500" activeTab="3" xr2:uid="{00000000-000D-0000-FFFF-FFFF00000000}"/>
  </bookViews>
  <sheets>
    <sheet name="用户价值分层" sheetId="1" r:id="rId1"/>
    <sheet name="行为间隔分析" sheetId="2" r:id="rId2"/>
    <sheet name="流失回流率" sheetId="3" r:id="rId3"/>
    <sheet name="分析摘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" l="1"/>
  <c r="D7" i="1"/>
  <c r="D6" i="1"/>
  <c r="D8" i="1" s="1"/>
  <c r="D5" i="1"/>
  <c r="D4" i="1"/>
</calcChain>
</file>

<file path=xl/sharedStrings.xml><?xml version="1.0" encoding="utf-8"?>
<sst xmlns="http://schemas.openxmlformats.org/spreadsheetml/2006/main" count="166" uniqueCount="103">
  <si>
    <t>用户价值分层 — 近30天充值（2026-05-27 至 2026-06-25）</t>
  </si>
  <si>
    <t>统计口径：近30天累计充值 &gt; 0 的用户  |  总用户数：711,980  |  金额单位：美元（USD）  |  数据窗口：30天</t>
  </si>
  <si>
    <t>等级</t>
  </si>
  <si>
    <t>范围定义</t>
  </si>
  <si>
    <t>用户数</t>
  </si>
  <si>
    <t>占比</t>
  </si>
  <si>
    <t>充值金额区间</t>
  </si>
  <si>
    <t>充值门槛</t>
  </si>
  <si>
    <t>S</t>
  </si>
  <si>
    <t>Top 10%</t>
  </si>
  <si>
    <t>≥ $202.9</t>
  </si>
  <si>
    <t>$202.9</t>
  </si>
  <si>
    <t>A</t>
  </si>
  <si>
    <t>Top 11–30%</t>
  </si>
  <si>
    <t>$40.2 – $202.9</t>
  </si>
  <si>
    <t>$40.2</t>
  </si>
  <si>
    <t>B</t>
  </si>
  <si>
    <t>Top 31–60%</t>
  </si>
  <si>
    <t>$8.2 – $40.2</t>
  </si>
  <si>
    <t>$8.2</t>
  </si>
  <si>
    <t>C</t>
  </si>
  <si>
    <t>剩余40%</t>
  </si>
  <si>
    <t>充值 &lt; $8.2 或零充值</t>
  </si>
  <si>
    <r>
      <rPr>
        <sz val="10"/>
        <color rgb="FF5F5E5A"/>
        <rFont val="Arial"/>
        <family val="2"/>
      </rPr>
      <t xml:space="preserve">$8.2 </t>
    </r>
    <r>
      <rPr>
        <sz val="10"/>
        <color rgb="FF5F5E5A"/>
        <rFont val="Noto Sans CJK SC"/>
        <family val="2"/>
      </rPr>
      <t>以下</t>
    </r>
  </si>
  <si>
    <t>合计</t>
  </si>
  <si>
    <t>用户行为间隔分析 — 各等级正常行为频率（单位：天）</t>
  </si>
  <si>
    <t>■  登录间隔</t>
  </si>
  <si>
    <t>样本间隔数</t>
  </si>
  <si>
    <t>均值(天)</t>
  </si>
  <si>
    <t>中位数(天)</t>
  </si>
  <si>
    <r>
      <rPr>
        <b/>
        <sz val="9"/>
        <color rgb="FFFFFFFF"/>
        <rFont val="Arial"/>
        <family val="2"/>
      </rPr>
      <t>P75(</t>
    </r>
    <r>
      <rPr>
        <b/>
        <sz val="9"/>
        <color rgb="FFFFFFFF"/>
        <rFont val="Noto Sans CJK SC"/>
        <family val="2"/>
      </rPr>
      <t>天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</si>
  <si>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Arial"/>
        <family val="2"/>
      </rPr>
      <t>P90(</t>
    </r>
    <r>
      <rPr>
        <b/>
        <sz val="9"/>
        <color rgb="FFFFFFFF"/>
        <rFont val="Noto Sans CJK SC"/>
        <family val="2"/>
      </rPr>
      <t>天</t>
    </r>
    <r>
      <rPr>
        <b/>
        <sz val="9"/>
        <color rgb="FFFFFFFF"/>
        <rFont val="Arial"/>
        <family val="2"/>
      </rPr>
      <t>)</t>
    </r>
  </si>
  <si>
    <t>触达建议窗口</t>
  </si>
  <si>
    <t>备注</t>
  </si>
  <si>
    <r>
      <rPr>
        <sz val="9"/>
        <color rgb="FF993C1D"/>
        <rFont val="Arial"/>
        <family val="2"/>
      </rPr>
      <t>1-2</t>
    </r>
    <r>
      <rPr>
        <sz val="9"/>
        <color rgb="FF993C1D"/>
        <rFont val="Noto Sans CJK SC"/>
        <family val="2"/>
      </rPr>
      <t>天</t>
    </r>
  </si>
  <si>
    <t>高频用户，每日充值/投注，轻触达</t>
  </si>
  <si>
    <r>
      <rPr>
        <sz val="9"/>
        <color rgb="FF185FA5"/>
        <rFont val="Arial"/>
        <family val="2"/>
      </rPr>
      <t>2-3</t>
    </r>
    <r>
      <rPr>
        <sz val="9"/>
        <color rgb="FF185FA5"/>
        <rFont val="Noto Sans CJK SC"/>
        <family val="2"/>
      </rPr>
      <t>天</t>
    </r>
  </si>
  <si>
    <t>隔天活跃，3天充值周期</t>
  </si>
  <si>
    <r>
      <rPr>
        <sz val="9"/>
        <color rgb="FF3B6D11"/>
        <rFont val="Arial"/>
        <family val="2"/>
      </rPr>
      <t>3-5</t>
    </r>
    <r>
      <rPr>
        <sz val="9"/>
        <color rgb="FF3B6D11"/>
        <rFont val="Noto Sans CJK SC"/>
        <family val="2"/>
      </rPr>
      <t>天</t>
    </r>
  </si>
  <si>
    <t>约每周投注，5天充值节奏</t>
  </si>
  <si>
    <r>
      <rPr>
        <sz val="9"/>
        <color rgb="FF5F5E5A"/>
        <rFont val="Arial"/>
        <family val="2"/>
      </rPr>
      <t>5-8</t>
    </r>
    <r>
      <rPr>
        <sz val="9"/>
        <color rgb="FF5F5E5A"/>
        <rFont val="Noto Sans CJK SC"/>
        <family val="2"/>
      </rPr>
      <t>天</t>
    </r>
  </si>
  <si>
    <t>低频，7-10天为触达窗口</t>
  </si>
  <si>
    <t>■  投注间隔</t>
  </si>
  <si>
    <t>■  充值间隔</t>
  </si>
  <si>
    <t>流失用户自然回流率 — 各断登节点（2026-05-27 至 2026-06-25）</t>
  </si>
  <si>
    <t>统计口径：在30天观测窗口内出现"连续≥N天未登录"事件后，是否在窗口内恢复登录/投注/充值。同一用户可贡献多个事件。30天节点因窗口限制无法统计。</t>
  </si>
  <si>
    <t>断登天数</t>
  </si>
  <si>
    <t>流失事件数</t>
  </si>
  <si>
    <t>再登录数</t>
  </si>
  <si>
    <t>再登录率</t>
  </si>
  <si>
    <t>再投注数</t>
  </si>
  <si>
    <t>再投注率</t>
  </si>
  <si>
    <t>再充值数</t>
  </si>
  <si>
    <t>再充值率</t>
  </si>
  <si>
    <t>策略建议</t>
  </si>
  <si>
    <t>奖励强度</t>
  </si>
  <si>
    <r>
      <rPr>
        <b/>
        <sz val="10"/>
        <color rgb="FF2C2C2A"/>
        <rFont val="Arial"/>
        <family val="2"/>
      </rPr>
      <t>2</t>
    </r>
    <r>
      <rPr>
        <b/>
        <sz val="10"/>
        <color rgb="FF2C2C2A"/>
        <rFont val="Noto Sans CJK SC"/>
        <family val="2"/>
      </rPr>
      <t>天未登录</t>
    </r>
  </si>
  <si>
    <t>自然回流率高，轻度提醒</t>
  </si>
  <si>
    <t>低</t>
  </si>
  <si>
    <r>
      <rPr>
        <b/>
        <sz val="10"/>
        <color rgb="FF2C2C2A"/>
        <rFont val="Arial"/>
        <family val="2"/>
      </rPr>
      <t>3</t>
    </r>
    <r>
      <rPr>
        <b/>
        <sz val="10"/>
        <color rgb="FF2C2C2A"/>
        <rFont val="Noto Sans CJK SC"/>
        <family val="2"/>
      </rPr>
      <t>天未登录</t>
    </r>
  </si>
  <si>
    <r>
      <rPr>
        <b/>
        <sz val="10"/>
        <color rgb="FF2C2C2A"/>
        <rFont val="Arial"/>
        <family val="2"/>
      </rPr>
      <t>4</t>
    </r>
    <r>
      <rPr>
        <b/>
        <sz val="10"/>
        <color rgb="FF2C2C2A"/>
        <rFont val="Noto Sans CJK SC"/>
        <family val="2"/>
      </rPr>
      <t>天未登录</t>
    </r>
  </si>
  <si>
    <r>
      <rPr>
        <b/>
        <sz val="10"/>
        <color rgb="FF2C2C2A"/>
        <rFont val="Arial"/>
        <family val="2"/>
      </rPr>
      <t>5</t>
    </r>
    <r>
      <rPr>
        <b/>
        <sz val="10"/>
        <color rgb="FF2C2C2A"/>
        <rFont val="Noto Sans CJK SC"/>
        <family val="2"/>
      </rPr>
      <t>天未登录</t>
    </r>
  </si>
  <si>
    <t>回流拐点区，触达性价比最高</t>
  </si>
  <si>
    <t>中</t>
  </si>
  <si>
    <r>
      <rPr>
        <b/>
        <sz val="10"/>
        <color rgb="FF2C2C2A"/>
        <rFont val="Arial"/>
        <family val="2"/>
      </rPr>
      <t>6</t>
    </r>
    <r>
      <rPr>
        <b/>
        <sz val="10"/>
        <color rgb="FF2C2C2A"/>
        <rFont val="Noto Sans CJK SC"/>
        <family val="2"/>
      </rPr>
      <t>天未登录</t>
    </r>
  </si>
  <si>
    <r>
      <rPr>
        <b/>
        <sz val="10"/>
        <color rgb="FF2C2C2A"/>
        <rFont val="Arial"/>
        <family val="2"/>
      </rPr>
      <t>7</t>
    </r>
    <r>
      <rPr>
        <b/>
        <sz val="10"/>
        <color rgb="FF2C2C2A"/>
        <rFont val="Noto Sans CJK SC"/>
        <family val="2"/>
      </rPr>
      <t>天未登录</t>
    </r>
  </si>
  <si>
    <r>
      <rPr>
        <b/>
        <sz val="10"/>
        <color rgb="FF2C2C2A"/>
        <rFont val="Arial"/>
        <family val="2"/>
      </rPr>
      <t>8</t>
    </r>
    <r>
      <rPr>
        <b/>
        <sz val="10"/>
        <color rgb="FF2C2C2A"/>
        <rFont val="Noto Sans CJK SC"/>
        <family val="2"/>
      </rPr>
      <t>天未登录</t>
    </r>
  </si>
  <si>
    <t>需实质性召回奖励</t>
  </si>
  <si>
    <t>中高</t>
  </si>
  <si>
    <r>
      <rPr>
        <b/>
        <sz val="10"/>
        <color rgb="FF2C2C2A"/>
        <rFont val="Arial"/>
        <family val="2"/>
      </rPr>
      <t>9</t>
    </r>
    <r>
      <rPr>
        <b/>
        <sz val="10"/>
        <color rgb="FF2C2C2A"/>
        <rFont val="Noto Sans CJK SC"/>
        <family val="2"/>
      </rPr>
      <t>天未登录</t>
    </r>
  </si>
  <si>
    <r>
      <rPr>
        <b/>
        <sz val="10"/>
        <color rgb="FF2C2C2A"/>
        <rFont val="Arial"/>
        <family val="2"/>
      </rPr>
      <t>10</t>
    </r>
    <r>
      <rPr>
        <b/>
        <sz val="10"/>
        <color rgb="FF2C2C2A"/>
        <rFont val="Noto Sans CJK SC"/>
        <family val="2"/>
      </rPr>
      <t>天未登录</t>
    </r>
  </si>
  <si>
    <r>
      <rPr>
        <b/>
        <sz val="10"/>
        <color rgb="FF2C2C2A"/>
        <rFont val="Arial"/>
        <family val="2"/>
      </rPr>
      <t>14</t>
    </r>
    <r>
      <rPr>
        <b/>
        <sz val="10"/>
        <color rgb="FF2C2C2A"/>
        <rFont val="Noto Sans CJK SC"/>
        <family val="2"/>
      </rPr>
      <t>天未登录</t>
    </r>
  </si>
  <si>
    <t>高难度召回，需强奖励</t>
  </si>
  <si>
    <t>高</t>
  </si>
  <si>
    <r>
      <rPr>
        <b/>
        <sz val="10"/>
        <color rgb="FF2C2C2A"/>
        <rFont val="Arial"/>
        <family val="2"/>
      </rPr>
      <t>21</t>
    </r>
    <r>
      <rPr>
        <b/>
        <sz val="10"/>
        <color rgb="FF2C2C2A"/>
        <rFont val="Noto Sans CJK SC"/>
        <family val="2"/>
      </rPr>
      <t>天未登录</t>
    </r>
  </si>
  <si>
    <t>极难召回，ROI需谨慎</t>
  </si>
  <si>
    <t>极高</t>
  </si>
  <si>
    <t>用户行为分析 — 核心洞察摘要</t>
  </si>
  <si>
    <t>分层基准</t>
  </si>
  <si>
    <t>近30天累计充值金额</t>
  </si>
  <si>
    <r>
      <rPr>
        <sz val="10"/>
        <color rgb="FF2C2C2A"/>
        <rFont val="Arial"/>
        <family val="2"/>
      </rPr>
      <t>711,980</t>
    </r>
    <r>
      <rPr>
        <sz val="10"/>
        <color rgb="FF2C2C2A"/>
        <rFont val="Noto Sans CJK SC"/>
        <family val="2"/>
      </rPr>
      <t>名用户</t>
    </r>
  </si>
  <si>
    <t>数据窗口：2026-05-27 至 2026-06-25</t>
  </si>
  <si>
    <r>
      <rPr>
        <b/>
        <sz val="10"/>
        <color rgb="FF2C2C2A"/>
        <rFont val="Arial"/>
        <family val="2"/>
      </rPr>
      <t>S</t>
    </r>
    <r>
      <rPr>
        <b/>
        <sz val="10"/>
        <color rgb="FF2C2C2A"/>
        <rFont val="Noto Sans CJK SC"/>
        <family val="2"/>
      </rPr>
      <t>级门槛</t>
    </r>
  </si>
  <si>
    <t>累计充值 ≥ $202.9</t>
  </si>
  <si>
    <r>
      <rPr>
        <sz val="10"/>
        <color rgb="FF2C2C2A"/>
        <rFont val="Arial"/>
        <family val="2"/>
      </rPr>
      <t>71,198</t>
    </r>
    <r>
      <rPr>
        <sz val="10"/>
        <color rgb="FF2C2C2A"/>
        <rFont val="Noto Sans CJK SC"/>
        <family val="2"/>
      </rPr>
      <t xml:space="preserve">人 </t>
    </r>
    <r>
      <rPr>
        <sz val="10"/>
        <color rgb="FF2C2C2A"/>
        <rFont val="Arial"/>
        <family val="2"/>
      </rPr>
      <t>(10%)</t>
    </r>
  </si>
  <si>
    <t>每日登录+充值，高黏性用户</t>
  </si>
  <si>
    <r>
      <rPr>
        <b/>
        <sz val="10"/>
        <color rgb="FF2C2C2A"/>
        <rFont val="Arial"/>
        <family val="2"/>
      </rPr>
      <t>A</t>
    </r>
    <r>
      <rPr>
        <b/>
        <sz val="10"/>
        <color rgb="FF2C2C2A"/>
        <rFont val="Noto Sans CJK SC"/>
        <family val="2"/>
      </rPr>
      <t>级门槛</t>
    </r>
  </si>
  <si>
    <t>累计充值 $40.2–202.9</t>
  </si>
  <si>
    <r>
      <rPr>
        <sz val="10"/>
        <color rgb="FF2C2C2A"/>
        <rFont val="Arial"/>
        <family val="2"/>
      </rPr>
      <t>142,396</t>
    </r>
    <r>
      <rPr>
        <sz val="10"/>
        <color rgb="FF2C2C2A"/>
        <rFont val="Noto Sans CJK SC"/>
        <family val="2"/>
      </rPr>
      <t xml:space="preserve">人 </t>
    </r>
    <r>
      <rPr>
        <sz val="10"/>
        <color rgb="FF2C2C2A"/>
        <rFont val="Arial"/>
        <family val="2"/>
      </rPr>
      <t>(20%)</t>
    </r>
  </si>
  <si>
    <r>
      <rPr>
        <b/>
        <sz val="10"/>
        <color rgb="FF2C2C2A"/>
        <rFont val="Arial"/>
        <family val="2"/>
      </rPr>
      <t>B</t>
    </r>
    <r>
      <rPr>
        <b/>
        <sz val="10"/>
        <color rgb="FF2C2C2A"/>
        <rFont val="Noto Sans CJK SC"/>
        <family val="2"/>
      </rPr>
      <t>级门槛</t>
    </r>
  </si>
  <si>
    <t>累计充值 $8.2–40.2</t>
  </si>
  <si>
    <r>
      <rPr>
        <sz val="10"/>
        <color rgb="FF2C2C2A"/>
        <rFont val="Arial"/>
        <family val="2"/>
      </rPr>
      <t>213,594</t>
    </r>
    <r>
      <rPr>
        <sz val="10"/>
        <color rgb="FF2C2C2A"/>
        <rFont val="Noto Sans CJK SC"/>
        <family val="2"/>
      </rPr>
      <t xml:space="preserve">人 </t>
    </r>
    <r>
      <rPr>
        <sz val="10"/>
        <color rgb="FF2C2C2A"/>
        <rFont val="Arial"/>
        <family val="2"/>
      </rPr>
      <t>(30%)</t>
    </r>
  </si>
  <si>
    <r>
      <rPr>
        <b/>
        <sz val="10"/>
        <color rgb="FF2C2C2A"/>
        <rFont val="Arial"/>
        <family val="2"/>
      </rPr>
      <t>C</t>
    </r>
    <r>
      <rPr>
        <b/>
        <sz val="10"/>
        <color rgb="FF2C2C2A"/>
        <rFont val="Noto Sans CJK SC"/>
        <family val="2"/>
      </rPr>
      <t>级门槛</t>
    </r>
  </si>
  <si>
    <t>累计充值 &lt; $8.2</t>
  </si>
  <si>
    <r>
      <rPr>
        <sz val="10"/>
        <color rgb="FF2C2C2A"/>
        <rFont val="Arial"/>
        <family val="2"/>
      </rPr>
      <t>284,797</t>
    </r>
    <r>
      <rPr>
        <sz val="10"/>
        <color rgb="FF2C2C2A"/>
        <rFont val="Noto Sans CJK SC"/>
        <family val="2"/>
      </rPr>
      <t xml:space="preserve">人 </t>
    </r>
    <r>
      <rPr>
        <sz val="10"/>
        <color rgb="FF2C2C2A"/>
        <rFont val="Arial"/>
        <family val="2"/>
      </rPr>
      <t>(40%)</t>
    </r>
  </si>
  <si>
    <t>低频用户，7-10天触达窗口</t>
  </si>
  <si>
    <t>流失关键节点</t>
  </si>
  <si>
    <t>断登2-4天：56-71%自然回流</t>
  </si>
  <si>
    <t>断登5-7天：39-50%（拐点）</t>
  </si>
  <si>
    <t>断登14天：18.5% / 21天：7.1%</t>
  </si>
  <si>
    <r>
      <rPr>
        <sz val="10"/>
        <color rgb="FF2C2C2A"/>
        <rFont val="Arial"/>
        <family val="2"/>
      </rPr>
      <t>2-4</t>
    </r>
    <r>
      <rPr>
        <sz val="10"/>
        <color rgb="FF2C2C2A"/>
        <rFont val="Noto Sans CJK SC"/>
        <family val="2"/>
      </rPr>
      <t>天：轻提醒，无需强奖励</t>
    </r>
  </si>
  <si>
    <r>
      <rPr>
        <sz val="10"/>
        <color rgb="FF2C2C2A"/>
        <rFont val="Arial"/>
        <family val="2"/>
      </rPr>
      <t>5-7</t>
    </r>
    <r>
      <rPr>
        <sz val="10"/>
        <color rgb="FF2C2C2A"/>
        <rFont val="Noto Sans CJK SC"/>
        <family val="2"/>
      </rPr>
      <t>天：中等奖励，性价比最高</t>
    </r>
  </si>
  <si>
    <r>
      <rPr>
        <sz val="10"/>
        <color rgb="FF2C2C2A"/>
        <rFont val="Arial"/>
        <family val="2"/>
      </rPr>
      <t>14</t>
    </r>
    <r>
      <rPr>
        <sz val="10"/>
        <color rgb="FF2C2C2A"/>
        <rFont val="Noto Sans CJK SC"/>
        <family val="2"/>
      </rPr>
      <t>天以上：需强奖励，谨慎评估</t>
    </r>
    <r>
      <rPr>
        <sz val="10"/>
        <color rgb="FF2C2C2A"/>
        <rFont val="Arial"/>
        <family val="2"/>
      </rPr>
      <t>ROI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</si>
</sst>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4">
    <font>
      <sz val="11"/>
      <color theme="1"/>
      <name val="Calibri"/>
      <family val="2"/>
      <charset val="1"/>
    </font>
    <font>
      <b/>
      <sz val="13"/>
      <color rgb="FFFFFFFF"/>
      <name val="Noto Sans CJK SC"/>
      <family val="2"/>
      <charset val="1"/>
    </font>
    <font>
      <sz val="9"/>
      <color rgb="FF993C1D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993C1D"/>
      <name val="Arial"/>
      <family val="2"/>
    </font>
    <font>
      <sz val="10"/>
      <color rgb="FF993C1D"/>
      <name val="Arial"/>
      <family val="2"/>
    </font>
    <font>
      <b/>
      <sz val="10"/>
      <color rgb="FF185FA5"/>
      <name val="Arial"/>
      <family val="2"/>
    </font>
    <font>
      <sz val="10"/>
      <color rgb="FF185FA5"/>
      <name val="Arial"/>
      <family val="2"/>
    </font>
    <font>
      <b/>
      <sz val="10"/>
      <color rgb="FF3B6D11"/>
      <name val="Arial"/>
      <family val="2"/>
    </font>
    <font>
      <sz val="10"/>
      <color rgb="FF3B6D11"/>
      <name val="Arial"/>
      <family val="2"/>
    </font>
    <font>
      <b/>
      <sz val="10"/>
      <color rgb="FF5F5E5A"/>
      <name val="Arial"/>
      <family val="2"/>
    </font>
    <font>
      <sz val="10"/>
      <color rgb="FF5F5E5A"/>
      <name val="Noto Sans CJK SC"/>
      <family val="2"/>
      <charset val="1"/>
    </font>
    <font>
      <sz val="10"/>
      <color rgb="FF5F5E5A"/>
      <name val="Arial"/>
      <family val="2"/>
    </font>
    <font>
      <sz val="10"/>
      <color rgb="FF5F5E5A"/>
      <name val="Noto Sans CJK SC"/>
      <family val="2"/>
    </font>
    <font>
      <b/>
      <sz val="10"/>
      <name val="Noto Sans CJK SC"/>
      <family val="2"/>
      <charset val="1"/>
    </font>
    <font>
      <b/>
      <sz val="10"/>
      <name val="Arial"/>
      <family val="2"/>
    </font>
    <font>
      <b/>
      <sz val="11"/>
      <color rgb="FF993C1D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b/>
      <sz val="9"/>
      <color rgb="FF993C1D"/>
      <name val="Arial"/>
      <family val="2"/>
    </font>
    <font>
      <sz val="9"/>
      <color rgb="FF993C1D"/>
      <name val="Arial"/>
      <family val="2"/>
    </font>
    <font>
      <sz val="9"/>
      <color rgb="FF993C1D"/>
      <name val="Noto Sans CJK SC"/>
      <family val="2"/>
    </font>
    <font>
      <b/>
      <sz val="9"/>
      <color rgb="FF185FA5"/>
      <name val="Arial"/>
      <family val="2"/>
    </font>
    <font>
      <sz val="9"/>
      <color rgb="FF185FA5"/>
      <name val="Arial"/>
      <family val="2"/>
    </font>
    <font>
      <sz val="9"/>
      <color rgb="FF185FA5"/>
      <name val="Noto Sans CJK SC"/>
      <family val="2"/>
    </font>
    <font>
      <sz val="9"/>
      <color rgb="FF185FA5"/>
      <name val="Noto Sans CJK SC"/>
      <family val="2"/>
      <charset val="1"/>
    </font>
    <font>
      <b/>
      <sz val="9"/>
      <color rgb="FF3B6D11"/>
      <name val="Arial"/>
      <family val="2"/>
    </font>
    <font>
      <sz val="9"/>
      <color rgb="FF3B6D11"/>
      <name val="Arial"/>
      <family val="2"/>
    </font>
    <font>
      <sz val="9"/>
      <color rgb="FF3B6D11"/>
      <name val="Noto Sans CJK SC"/>
      <family val="2"/>
    </font>
    <font>
      <sz val="9"/>
      <color rgb="FF3B6D11"/>
      <name val="Noto Sans CJK SC"/>
      <family val="2"/>
      <charset val="1"/>
    </font>
    <font>
      <b/>
      <sz val="9"/>
      <color rgb="FF5F5E5A"/>
      <name val="Arial"/>
      <family val="2"/>
    </font>
    <font>
      <sz val="9"/>
      <color rgb="FF5F5E5A"/>
      <name val="Arial"/>
      <family val="2"/>
    </font>
    <font>
      <sz val="9"/>
      <color rgb="FF5F5E5A"/>
      <name val="Noto Sans CJK SC"/>
      <family val="2"/>
    </font>
    <font>
      <sz val="9"/>
      <color rgb="FF5F5E5A"/>
      <name val="Noto Sans CJK SC"/>
      <family val="2"/>
      <charset val="1"/>
    </font>
    <font>
      <b/>
      <sz val="10"/>
      <color rgb="FF2C2C2A"/>
      <name val="Arial"/>
      <family val="2"/>
    </font>
    <font>
      <b/>
      <sz val="10"/>
      <color rgb="FF2C2C2A"/>
      <name val="Noto Sans CJK SC"/>
      <family val="2"/>
    </font>
    <font>
      <sz val="10"/>
      <color rgb="FF2C2C2A"/>
      <name val="Arial"/>
      <family val="2"/>
    </font>
    <font>
      <sz val="10"/>
      <color rgb="FF3B6D11"/>
      <name val="Noto Sans CJK SC"/>
      <family val="2"/>
      <charset val="1"/>
    </font>
    <font>
      <b/>
      <sz val="10"/>
      <color rgb="FF3B6D11"/>
      <name val="Noto Sans CJK SC"/>
      <family val="2"/>
      <charset val="1"/>
    </font>
    <font>
      <sz val="10"/>
      <color rgb="FF185FA5"/>
      <name val="Noto Sans CJK SC"/>
      <family val="2"/>
      <charset val="1"/>
    </font>
    <font>
      <b/>
      <sz val="10"/>
      <color rgb="FF185FA5"/>
      <name val="Noto Sans CJK SC"/>
      <family val="2"/>
      <charset val="1"/>
    </font>
    <font>
      <sz val="10"/>
      <color rgb="FFBA7517"/>
      <name val="Noto Sans CJK SC"/>
      <family val="2"/>
      <charset val="1"/>
    </font>
    <font>
      <b/>
      <sz val="10"/>
      <color rgb="FFBA7517"/>
      <name val="Noto Sans CJK SC"/>
      <family val="2"/>
      <charset val="1"/>
    </font>
    <font>
      <sz val="10"/>
      <color rgb="FF993C1D"/>
      <name val="Noto Sans CJK SC"/>
      <family val="2"/>
      <charset val="1"/>
    </font>
    <font>
      <b/>
      <sz val="10"/>
      <color rgb="FF993C1D"/>
      <name val="Noto Sans CJK SC"/>
      <family val="2"/>
      <charset val="1"/>
    </font>
    <font>
      <sz val="10"/>
      <color rgb="FFA32D2D"/>
      <name val="Noto Sans CJK SC"/>
      <family val="2"/>
      <charset val="1"/>
    </font>
    <font>
      <b/>
      <sz val="10"/>
      <color rgb="FFA32D2D"/>
      <name val="Noto Sans CJK SC"/>
      <family val="2"/>
      <charset val="1"/>
    </font>
    <font>
      <b/>
      <sz val="14"/>
      <color rgb="FFFFFFFF"/>
      <name val="Noto Sans CJK SC"/>
      <family val="2"/>
      <charset val="1"/>
    </font>
    <font>
      <b/>
      <sz val="10"/>
      <color rgb="FF2C2C2A"/>
      <name val="Noto Sans CJK SC"/>
      <family val="2"/>
      <charset val="1"/>
    </font>
    <font>
      <sz val="10"/>
      <color rgb="FF2C2C2A"/>
      <name val="Noto Sans CJK SC"/>
      <family val="2"/>
      <charset val="1"/>
    </font>
    <font>
      <sz val="10"/>
      <color rgb="FF2C2C2A"/>
      <name val="Noto Sans CJK SC"/>
      <family val="2"/>
    </font>
    <font>
      <sz val="9"/>
      <name val="宋体"/>
      <family val="3"/>
      <charset val="134"/>
    </font>
    <font>
      <sz val="9"/>
      <color rgb="FF993C1D"/>
      <name val="Noto Sans CJK SC"/>
      <charset val="134"/>
    </font>
  </fonts>
  <fills count="12">
    <fill>
      <patternFill patternType="none"/>
    </fill>
    <fill>
      <patternFill patternType="gray125"/>
    </fill>
    <fill>
      <patternFill patternType="solid">
        <fgColor rgb="FFD85A30"/>
        <bgColor rgb="FFBA7517"/>
      </patternFill>
    </fill>
    <fill>
      <patternFill patternType="solid">
        <fgColor rgb="FFFAECE7"/>
        <bgColor rgb="FFFCEBEB"/>
      </patternFill>
    </fill>
    <fill>
      <patternFill patternType="solid">
        <fgColor rgb="FF5F5E5A"/>
        <bgColor rgb="FF3B6D11"/>
      </patternFill>
    </fill>
    <fill>
      <patternFill patternType="solid">
        <fgColor rgb="FFE6F1FB"/>
        <bgColor rgb="FFF1EFE8"/>
      </patternFill>
    </fill>
    <fill>
      <patternFill patternType="solid">
        <fgColor rgb="FFEAF3DE"/>
        <bgColor rgb="FFF1EFE8"/>
      </patternFill>
    </fill>
    <fill>
      <patternFill patternType="solid">
        <fgColor rgb="FFF1EFE8"/>
        <bgColor rgb="FFFAECE7"/>
      </patternFill>
    </fill>
    <fill>
      <patternFill patternType="solid">
        <fgColor rgb="FFD3D1C7"/>
        <bgColor rgb="FFFFCC99"/>
      </patternFill>
    </fill>
    <fill>
      <patternFill patternType="solid">
        <fgColor rgb="FFFFFFFF"/>
        <bgColor rgb="FFF1EFE8"/>
      </patternFill>
    </fill>
    <fill>
      <patternFill patternType="solid">
        <fgColor rgb="FFFAEEDA"/>
        <bgColor rgb="FFFAECE7"/>
      </patternFill>
    </fill>
    <fill>
      <patternFill patternType="solid">
        <fgColor rgb="FFFCEBEB"/>
        <bgColor rgb="FFFAECE7"/>
      </patternFill>
    </fill>
  </fills>
  <borders count="3">
    <border>
      <left/>
      <right/>
      <top/>
      <bottom/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8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10" fontId="5" fillId="3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10" fontId="7" fillId="5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3" fontId="9" fillId="6" borderId="2" xfId="0" applyNumberFormat="1" applyFont="1" applyFill="1" applyBorder="1" applyAlignment="1">
      <alignment horizontal="center" vertical="center" wrapText="1"/>
    </xf>
    <xf numFmtId="10" fontId="9" fillId="6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3" fontId="12" fillId="7" borderId="2" xfId="0" applyNumberFormat="1" applyFont="1" applyFill="1" applyBorder="1" applyAlignment="1">
      <alignment horizontal="center" vertical="center" wrapText="1"/>
    </xf>
    <xf numFmtId="10" fontId="12" fillId="7" borderId="2" xfId="0" applyNumberFormat="1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3" fontId="15" fillId="8" borderId="2" xfId="0" applyNumberFormat="1" applyFont="1" applyFill="1" applyBorder="1" applyAlignment="1">
      <alignment horizontal="center" vertical="center" wrapText="1"/>
    </xf>
    <xf numFmtId="10" fontId="15" fillId="8" borderId="2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3" fontId="21" fillId="3" borderId="2" xfId="0" applyNumberFormat="1" applyFont="1" applyFill="1" applyBorder="1" applyAlignment="1">
      <alignment horizontal="center" vertical="center" wrapText="1"/>
    </xf>
    <xf numFmtId="2" fontId="21" fillId="3" borderId="2" xfId="0" applyNumberFormat="1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3" fillId="5" borderId="2" xfId="0" applyFont="1" applyFill="1" applyBorder="1" applyAlignment="1">
      <alignment horizontal="center" vertical="center" wrapText="1"/>
    </xf>
    <xf numFmtId="3" fontId="24" fillId="5" borderId="2" xfId="0" applyNumberFormat="1" applyFont="1" applyFill="1" applyBorder="1" applyAlignment="1">
      <alignment horizontal="center" vertical="center" wrapText="1"/>
    </xf>
    <xf numFmtId="2" fontId="24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left" vertical="center"/>
    </xf>
    <xf numFmtId="0" fontId="27" fillId="6" borderId="2" xfId="0" applyFont="1" applyFill="1" applyBorder="1" applyAlignment="1">
      <alignment horizontal="center" vertical="center" wrapText="1"/>
    </xf>
    <xf numFmtId="3" fontId="28" fillId="6" borderId="2" xfId="0" applyNumberFormat="1" applyFont="1" applyFill="1" applyBorder="1" applyAlignment="1">
      <alignment horizontal="center" vertical="center" wrapText="1"/>
    </xf>
    <xf numFmtId="2" fontId="28" fillId="6" borderId="2" xfId="0" applyNumberFormat="1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1" fillId="7" borderId="2" xfId="0" applyFont="1" applyFill="1" applyBorder="1" applyAlignment="1">
      <alignment horizontal="center" vertical="center" wrapText="1"/>
    </xf>
    <xf numFmtId="3" fontId="32" fillId="7" borderId="2" xfId="0" applyNumberFormat="1" applyFont="1" applyFill="1" applyBorder="1" applyAlignment="1">
      <alignment horizontal="center" vertical="center" wrapText="1"/>
    </xf>
    <xf numFmtId="2" fontId="32" fillId="7" borderId="2" xfId="0" applyNumberFormat="1" applyFont="1" applyFill="1" applyBorder="1" applyAlignment="1">
      <alignment horizontal="center" vertical="center" wrapText="1"/>
    </xf>
    <xf numFmtId="0" fontId="32" fillId="7" borderId="2" xfId="0" applyFont="1" applyFill="1" applyBorder="1" applyAlignment="1">
      <alignment horizontal="left" vertical="center"/>
    </xf>
    <xf numFmtId="0" fontId="34" fillId="7" borderId="2" xfId="0" applyFont="1" applyFill="1" applyBorder="1" applyAlignment="1">
      <alignment horizontal="left" vertical="center"/>
    </xf>
    <xf numFmtId="0" fontId="35" fillId="9" borderId="2" xfId="0" applyFont="1" applyFill="1" applyBorder="1" applyAlignment="1">
      <alignment horizontal="center" vertical="center" wrapText="1"/>
    </xf>
    <xf numFmtId="3" fontId="37" fillId="9" borderId="2" xfId="0" applyNumberFormat="1" applyFont="1" applyFill="1" applyBorder="1" applyAlignment="1">
      <alignment horizontal="center" vertical="center" wrapText="1"/>
    </xf>
    <xf numFmtId="176" fontId="35" fillId="9" borderId="2" xfId="0" applyNumberFormat="1" applyFont="1" applyFill="1" applyBorder="1" applyAlignment="1">
      <alignment horizontal="center" vertical="center" wrapText="1"/>
    </xf>
    <xf numFmtId="0" fontId="38" fillId="6" borderId="2" xfId="0" applyFont="1" applyFill="1" applyBorder="1" applyAlignment="1">
      <alignment horizontal="left" vertical="center"/>
    </xf>
    <xf numFmtId="0" fontId="39" fillId="6" borderId="2" xfId="0" applyFont="1" applyFill="1" applyBorder="1" applyAlignment="1">
      <alignment horizontal="center" vertical="center" wrapText="1"/>
    </xf>
    <xf numFmtId="0" fontId="35" fillId="7" borderId="2" xfId="0" applyFont="1" applyFill="1" applyBorder="1" applyAlignment="1">
      <alignment horizontal="center" vertical="center" wrapText="1"/>
    </xf>
    <xf numFmtId="3" fontId="37" fillId="7" borderId="2" xfId="0" applyNumberFormat="1" applyFont="1" applyFill="1" applyBorder="1" applyAlignment="1">
      <alignment horizontal="center" vertical="center" wrapText="1"/>
    </xf>
    <xf numFmtId="176" fontId="35" fillId="7" borderId="2" xfId="0" applyNumberFormat="1" applyFont="1" applyFill="1" applyBorder="1" applyAlignment="1">
      <alignment horizontal="center" vertical="center" wrapText="1"/>
    </xf>
    <xf numFmtId="0" fontId="40" fillId="5" borderId="2" xfId="0" applyFont="1" applyFill="1" applyBorder="1" applyAlignment="1">
      <alignment horizontal="left" vertical="center"/>
    </xf>
    <xf numFmtId="0" fontId="41" fillId="5" borderId="2" xfId="0" applyFont="1" applyFill="1" applyBorder="1" applyAlignment="1">
      <alignment horizontal="center" vertical="center" wrapText="1"/>
    </xf>
    <xf numFmtId="0" fontId="42" fillId="10" borderId="2" xfId="0" applyFont="1" applyFill="1" applyBorder="1" applyAlignment="1">
      <alignment horizontal="left" vertical="center"/>
    </xf>
    <xf numFmtId="0" fontId="43" fillId="10" borderId="2" xfId="0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horizontal="left" vertical="center"/>
    </xf>
    <xf numFmtId="0" fontId="45" fillId="3" borderId="2" xfId="0" applyFont="1" applyFill="1" applyBorder="1" applyAlignment="1">
      <alignment horizontal="center" vertical="center" wrapText="1"/>
    </xf>
    <xf numFmtId="0" fontId="46" fillId="11" borderId="2" xfId="0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center" vertical="center" wrapText="1"/>
    </xf>
    <xf numFmtId="0" fontId="49" fillId="3" borderId="2" xfId="0" applyFont="1" applyFill="1" applyBorder="1" applyAlignment="1">
      <alignment horizontal="left" vertical="center"/>
    </xf>
    <xf numFmtId="0" fontId="50" fillId="9" borderId="2" xfId="0" applyFont="1" applyFill="1" applyBorder="1" applyAlignment="1">
      <alignment horizontal="left" vertical="center"/>
    </xf>
    <xf numFmtId="0" fontId="37" fillId="9" borderId="2" xfId="0" applyFont="1" applyFill="1" applyBorder="1" applyAlignment="1">
      <alignment horizontal="left" vertical="center"/>
    </xf>
    <xf numFmtId="0" fontId="35" fillId="3" borderId="2" xfId="0" applyFont="1" applyFill="1" applyBorder="1" applyAlignment="1">
      <alignment horizontal="left" vertical="center"/>
    </xf>
    <xf numFmtId="0" fontId="53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A32D2D"/>
      <rgbColor rgb="FFFAEEDA"/>
      <rgbColor rgb="FFE6F1FB"/>
      <rgbColor rgb="FF660066"/>
      <rgbColor rgb="FFFF8080"/>
      <rgbColor rgb="FF185FA5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AF3DE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03366"/>
      <rgbColor rgb="FF339966"/>
      <rgbColor rgb="FF003300"/>
      <rgbColor rgb="FF333300"/>
      <rgbColor rgb="FF993C1D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zoomScaleNormal="100" workbookViewId="0">
      <selection activeCell="E19" sqref="E19"/>
    </sheetView>
  </sheetViews>
  <sheetFormatPr defaultColWidth="8.7109375" defaultRowHeight="15"/>
  <cols>
    <col min="1" max="1" width="8" customWidth="1"/>
    <col min="2" max="6" width="20.140625" customWidth="1"/>
  </cols>
  <sheetData>
    <row r="1" spans="1:6" ht="36" customHeight="1">
      <c r="A1" s="4" t="s">
        <v>0</v>
      </c>
      <c r="B1" s="4"/>
      <c r="C1" s="4"/>
      <c r="D1" s="4"/>
      <c r="E1" s="4"/>
      <c r="F1" s="4"/>
    </row>
    <row r="2" spans="1:6" ht="18" customHeight="1">
      <c r="A2" s="3" t="s">
        <v>1</v>
      </c>
      <c r="B2" s="3"/>
      <c r="C2" s="3"/>
      <c r="D2" s="3"/>
      <c r="E2" s="3"/>
      <c r="F2" s="3"/>
    </row>
    <row r="3" spans="1:6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9.5" customHeight="1">
      <c r="A4" s="6" t="s">
        <v>8</v>
      </c>
      <c r="B4" s="7" t="s">
        <v>9</v>
      </c>
      <c r="C4" s="8">
        <v>71198</v>
      </c>
      <c r="D4" s="9">
        <f>C4/711985</f>
        <v>9.9999297738014137E-2</v>
      </c>
      <c r="E4" s="7" t="s">
        <v>10</v>
      </c>
      <c r="F4" s="7" t="s">
        <v>11</v>
      </c>
    </row>
    <row r="5" spans="1:6" ht="19.5" customHeight="1">
      <c r="A5" s="10" t="s">
        <v>12</v>
      </c>
      <c r="B5" s="11" t="s">
        <v>13</v>
      </c>
      <c r="C5" s="12">
        <v>142396</v>
      </c>
      <c r="D5" s="13">
        <f>C5/711985</f>
        <v>0.19999859547602827</v>
      </c>
      <c r="E5" s="11" t="s">
        <v>14</v>
      </c>
      <c r="F5" s="11" t="s">
        <v>15</v>
      </c>
    </row>
    <row r="6" spans="1:6" ht="19.5" customHeight="1">
      <c r="A6" s="14" t="s">
        <v>16</v>
      </c>
      <c r="B6" s="15" t="s">
        <v>17</v>
      </c>
      <c r="C6" s="16">
        <v>213594</v>
      </c>
      <c r="D6" s="17">
        <f>C6/711985</f>
        <v>0.29999789321404241</v>
      </c>
      <c r="E6" s="15" t="s">
        <v>18</v>
      </c>
      <c r="F6" s="15" t="s">
        <v>19</v>
      </c>
    </row>
    <row r="7" spans="1:6" ht="19.5" customHeight="1">
      <c r="A7" s="18" t="s">
        <v>20</v>
      </c>
      <c r="B7" s="19" t="s">
        <v>21</v>
      </c>
      <c r="C7" s="20">
        <v>284792</v>
      </c>
      <c r="D7" s="21">
        <f>C7/711985</f>
        <v>0.39999719095205655</v>
      </c>
      <c r="E7" s="19" t="s">
        <v>22</v>
      </c>
      <c r="F7" s="22" t="s">
        <v>23</v>
      </c>
    </row>
    <row r="8" spans="1:6" ht="19.5" customHeight="1">
      <c r="A8" s="23" t="s">
        <v>24</v>
      </c>
      <c r="B8" s="24"/>
      <c r="C8" s="25">
        <f>SUM(C4:C7)</f>
        <v>711980</v>
      </c>
      <c r="D8" s="26">
        <f>SUM(D4:D7)</f>
        <v>0.99999297738014137</v>
      </c>
      <c r="E8" s="24"/>
      <c r="F8" s="24"/>
    </row>
  </sheetData>
  <mergeCells count="2">
    <mergeCell ref="A1:F1"/>
    <mergeCell ref="A2:F2"/>
  </mergeCells>
  <phoneticPr fontId="5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showGridLines="0" zoomScaleNormal="100" workbookViewId="0">
      <selection activeCell="H26" sqref="H26"/>
    </sheetView>
  </sheetViews>
  <sheetFormatPr defaultColWidth="8.7109375" defaultRowHeight="15"/>
  <cols>
    <col min="1" max="1" width="7" customWidth="1"/>
    <col min="2" max="2" width="12" customWidth="1"/>
    <col min="3" max="3" width="14" customWidth="1"/>
    <col min="4" max="4" width="10" customWidth="1"/>
    <col min="5" max="5" width="12" customWidth="1"/>
    <col min="6" max="7" width="10" customWidth="1"/>
    <col min="8" max="8" width="14" customWidth="1"/>
    <col min="9" max="9" width="28" customWidth="1"/>
  </cols>
  <sheetData>
    <row r="1" spans="1:9" ht="36" customHeight="1">
      <c r="A1" s="4" t="s">
        <v>25</v>
      </c>
      <c r="B1" s="4"/>
      <c r="C1" s="4"/>
      <c r="D1" s="4"/>
      <c r="E1" s="4"/>
      <c r="F1" s="4"/>
      <c r="G1" s="4"/>
      <c r="H1" s="4"/>
      <c r="I1" s="4"/>
    </row>
    <row r="3" spans="1:9" ht="21.75" customHeight="1">
      <c r="A3" s="2" t="s">
        <v>26</v>
      </c>
      <c r="B3" s="2"/>
      <c r="C3" s="2"/>
      <c r="D3" s="2"/>
      <c r="E3" s="2"/>
      <c r="F3" s="2"/>
      <c r="G3" s="2"/>
      <c r="H3" s="2"/>
      <c r="I3" s="2"/>
    </row>
    <row r="4" spans="1:9" ht="19.5" customHeight="1">
      <c r="A4" s="27" t="s">
        <v>2</v>
      </c>
      <c r="B4" s="27" t="s">
        <v>4</v>
      </c>
      <c r="C4" s="27" t="s">
        <v>27</v>
      </c>
      <c r="D4" s="27" t="s">
        <v>28</v>
      </c>
      <c r="E4" s="27" t="s">
        <v>29</v>
      </c>
      <c r="F4" s="28" t="s">
        <v>30</v>
      </c>
      <c r="G4" s="28" t="s">
        <v>31</v>
      </c>
      <c r="H4" s="27" t="s">
        <v>32</v>
      </c>
      <c r="I4" s="27" t="s">
        <v>33</v>
      </c>
    </row>
    <row r="5" spans="1:9" ht="18" customHeight="1">
      <c r="A5" s="29" t="s">
        <v>8</v>
      </c>
      <c r="B5" s="30">
        <v>71198</v>
      </c>
      <c r="C5" s="30">
        <v>1629160</v>
      </c>
      <c r="D5" s="31">
        <v>1.1299999999999999</v>
      </c>
      <c r="E5" s="31">
        <v>1</v>
      </c>
      <c r="F5" s="31">
        <v>1</v>
      </c>
      <c r="G5" s="31">
        <v>1</v>
      </c>
      <c r="H5" s="32" t="s">
        <v>34</v>
      </c>
      <c r="I5" s="33" t="s">
        <v>35</v>
      </c>
    </row>
    <row r="6" spans="1:9" ht="18" customHeight="1">
      <c r="A6" s="34" t="s">
        <v>12</v>
      </c>
      <c r="B6" s="35">
        <v>142396</v>
      </c>
      <c r="C6" s="35">
        <v>2469548</v>
      </c>
      <c r="D6" s="36">
        <v>1.33</v>
      </c>
      <c r="E6" s="36">
        <v>1</v>
      </c>
      <c r="F6" s="36">
        <v>1</v>
      </c>
      <c r="G6" s="36">
        <v>2</v>
      </c>
      <c r="H6" s="37" t="s">
        <v>36</v>
      </c>
      <c r="I6" s="38" t="s">
        <v>37</v>
      </c>
    </row>
    <row r="7" spans="1:9" ht="18" customHeight="1">
      <c r="A7" s="39" t="s">
        <v>16</v>
      </c>
      <c r="B7" s="40">
        <v>213594</v>
      </c>
      <c r="C7" s="40">
        <v>2059612</v>
      </c>
      <c r="D7" s="41">
        <v>1.76</v>
      </c>
      <c r="E7" s="41">
        <v>1</v>
      </c>
      <c r="F7" s="41">
        <v>2</v>
      </c>
      <c r="G7" s="41">
        <v>3</v>
      </c>
      <c r="H7" s="42" t="s">
        <v>38</v>
      </c>
      <c r="I7" s="43" t="s">
        <v>39</v>
      </c>
    </row>
    <row r="8" spans="1:9" ht="18" customHeight="1">
      <c r="A8" s="44" t="s">
        <v>20</v>
      </c>
      <c r="B8" s="45">
        <v>284792</v>
      </c>
      <c r="C8" s="45">
        <v>1242642</v>
      </c>
      <c r="D8" s="46">
        <v>2.23</v>
      </c>
      <c r="E8" s="46">
        <v>1</v>
      </c>
      <c r="F8" s="46">
        <v>2</v>
      </c>
      <c r="G8" s="46">
        <v>5</v>
      </c>
      <c r="H8" s="47" t="s">
        <v>40</v>
      </c>
      <c r="I8" s="48" t="s">
        <v>41</v>
      </c>
    </row>
    <row r="10" spans="1:9" ht="21.75" customHeight="1">
      <c r="A10" s="2" t="s">
        <v>42</v>
      </c>
      <c r="B10" s="2"/>
      <c r="C10" s="2"/>
      <c r="D10" s="2"/>
      <c r="E10" s="2"/>
      <c r="F10" s="2"/>
      <c r="G10" s="2"/>
      <c r="H10" s="2"/>
      <c r="I10" s="2"/>
    </row>
    <row r="11" spans="1:9" ht="19.5" customHeight="1">
      <c r="A11" s="27" t="s">
        <v>2</v>
      </c>
      <c r="B11" s="27" t="s">
        <v>4</v>
      </c>
      <c r="C11" s="27" t="s">
        <v>27</v>
      </c>
      <c r="D11" s="27" t="s">
        <v>28</v>
      </c>
      <c r="E11" s="27" t="s">
        <v>29</v>
      </c>
      <c r="F11" s="28" t="s">
        <v>30</v>
      </c>
      <c r="G11" s="28" t="s">
        <v>31</v>
      </c>
      <c r="H11" s="27" t="s">
        <v>32</v>
      </c>
      <c r="I11" s="27" t="s">
        <v>33</v>
      </c>
    </row>
    <row r="12" spans="1:9" ht="18" customHeight="1">
      <c r="A12" s="29" t="s">
        <v>8</v>
      </c>
      <c r="B12" s="30">
        <v>71192</v>
      </c>
      <c r="C12" s="30">
        <v>1496985</v>
      </c>
      <c r="D12" s="31">
        <v>1.2</v>
      </c>
      <c r="E12" s="31">
        <v>1</v>
      </c>
      <c r="F12" s="31">
        <v>1</v>
      </c>
      <c r="G12" s="31">
        <v>2</v>
      </c>
      <c r="H12" s="32" t="s">
        <v>34</v>
      </c>
      <c r="I12" s="33" t="s">
        <v>35</v>
      </c>
    </row>
    <row r="13" spans="1:9" ht="18" customHeight="1">
      <c r="A13" s="34" t="s">
        <v>12</v>
      </c>
      <c r="B13" s="35">
        <v>142363</v>
      </c>
      <c r="C13" s="35">
        <v>1988279</v>
      </c>
      <c r="D13" s="36">
        <v>1.55</v>
      </c>
      <c r="E13" s="36">
        <v>1</v>
      </c>
      <c r="F13" s="36">
        <v>1</v>
      </c>
      <c r="G13" s="36">
        <v>3</v>
      </c>
      <c r="H13" s="37" t="s">
        <v>36</v>
      </c>
      <c r="I13" s="38" t="s">
        <v>37</v>
      </c>
    </row>
    <row r="14" spans="1:9" ht="18" customHeight="1">
      <c r="A14" s="39" t="s">
        <v>16</v>
      </c>
      <c r="B14" s="40">
        <v>213334</v>
      </c>
      <c r="C14" s="40">
        <v>1271334</v>
      </c>
      <c r="D14" s="41">
        <v>2.4</v>
      </c>
      <c r="E14" s="41">
        <v>1</v>
      </c>
      <c r="F14" s="41">
        <v>3</v>
      </c>
      <c r="G14" s="41">
        <v>5</v>
      </c>
      <c r="H14" s="42" t="s">
        <v>38</v>
      </c>
      <c r="I14" s="43" t="s">
        <v>39</v>
      </c>
    </row>
    <row r="15" spans="1:9" ht="18" customHeight="1">
      <c r="A15" s="44" t="s">
        <v>20</v>
      </c>
      <c r="B15" s="45">
        <v>281643</v>
      </c>
      <c r="C15" s="45">
        <v>510478</v>
      </c>
      <c r="D15" s="46">
        <v>3.38</v>
      </c>
      <c r="E15" s="46">
        <v>2</v>
      </c>
      <c r="F15" s="46">
        <v>4</v>
      </c>
      <c r="G15" s="46">
        <v>8</v>
      </c>
      <c r="H15" s="47" t="s">
        <v>40</v>
      </c>
      <c r="I15" s="48" t="s">
        <v>41</v>
      </c>
    </row>
    <row r="17" spans="1:9" ht="21.75" customHeight="1">
      <c r="A17" s="2" t="s">
        <v>43</v>
      </c>
      <c r="B17" s="2"/>
      <c r="C17" s="2"/>
      <c r="D17" s="2"/>
      <c r="E17" s="2"/>
      <c r="F17" s="2"/>
      <c r="G17" s="2"/>
      <c r="H17" s="2"/>
      <c r="I17" s="2"/>
    </row>
    <row r="18" spans="1:9" ht="19.5" customHeight="1">
      <c r="A18" s="27" t="s">
        <v>2</v>
      </c>
      <c r="B18" s="27" t="s">
        <v>4</v>
      </c>
      <c r="C18" s="27" t="s">
        <v>27</v>
      </c>
      <c r="D18" s="27" t="s">
        <v>28</v>
      </c>
      <c r="E18" s="27" t="s">
        <v>29</v>
      </c>
      <c r="F18" s="28" t="s">
        <v>30</v>
      </c>
      <c r="G18" s="28" t="s">
        <v>31</v>
      </c>
      <c r="H18" s="27" t="s">
        <v>32</v>
      </c>
      <c r="I18" s="27" t="s">
        <v>33</v>
      </c>
    </row>
    <row r="19" spans="1:9" ht="18" customHeight="1">
      <c r="A19" s="29" t="s">
        <v>8</v>
      </c>
      <c r="B19" s="30">
        <v>71198</v>
      </c>
      <c r="C19" s="30">
        <v>1163700</v>
      </c>
      <c r="D19" s="31">
        <v>1.46</v>
      </c>
      <c r="E19" s="31">
        <v>1</v>
      </c>
      <c r="F19" s="31">
        <v>1</v>
      </c>
      <c r="G19" s="31">
        <v>2</v>
      </c>
      <c r="H19" s="32" t="s">
        <v>34</v>
      </c>
      <c r="I19" s="33" t="s">
        <v>35</v>
      </c>
    </row>
    <row r="20" spans="1:9" ht="18" customHeight="1">
      <c r="A20" s="34" t="s">
        <v>12</v>
      </c>
      <c r="B20" s="35">
        <v>142396</v>
      </c>
      <c r="C20" s="35">
        <v>1228219</v>
      </c>
      <c r="D20" s="36">
        <v>2.2200000000000002</v>
      </c>
      <c r="E20" s="36">
        <v>1</v>
      </c>
      <c r="F20" s="36">
        <v>3</v>
      </c>
      <c r="G20" s="36">
        <v>5</v>
      </c>
      <c r="H20" s="37" t="s">
        <v>36</v>
      </c>
      <c r="I20" s="38" t="s">
        <v>37</v>
      </c>
    </row>
    <row r="21" spans="1:9" ht="18" customHeight="1">
      <c r="A21" s="39" t="s">
        <v>16</v>
      </c>
      <c r="B21" s="40">
        <v>213594</v>
      </c>
      <c r="C21" s="40">
        <v>539357</v>
      </c>
      <c r="D21" s="41">
        <v>4.05</v>
      </c>
      <c r="E21" s="41">
        <v>2</v>
      </c>
      <c r="F21" s="41">
        <v>5</v>
      </c>
      <c r="G21" s="41">
        <v>10</v>
      </c>
      <c r="H21" s="42" t="s">
        <v>38</v>
      </c>
      <c r="I21" s="43" t="s">
        <v>39</v>
      </c>
    </row>
    <row r="22" spans="1:9" ht="18" customHeight="1">
      <c r="A22" s="44" t="s">
        <v>20</v>
      </c>
      <c r="B22" s="45">
        <v>284792</v>
      </c>
      <c r="C22" s="45">
        <v>77185</v>
      </c>
      <c r="D22" s="46">
        <v>6.17</v>
      </c>
      <c r="E22" s="46">
        <v>4</v>
      </c>
      <c r="F22" s="46">
        <v>9</v>
      </c>
      <c r="G22" s="46">
        <v>15</v>
      </c>
      <c r="H22" s="47" t="s">
        <v>40</v>
      </c>
      <c r="I22" s="48" t="s">
        <v>41</v>
      </c>
    </row>
  </sheetData>
  <mergeCells count="4">
    <mergeCell ref="A1:I1"/>
    <mergeCell ref="A3:I3"/>
    <mergeCell ref="A10:I10"/>
    <mergeCell ref="A17:I17"/>
  </mergeCells>
  <phoneticPr fontId="5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zoomScaleNormal="100" workbookViewId="0">
      <selection activeCell="I20" sqref="I20"/>
    </sheetView>
  </sheetViews>
  <sheetFormatPr defaultColWidth="8.7109375" defaultRowHeight="15"/>
  <cols>
    <col min="1" max="1" width="16" customWidth="1"/>
    <col min="2" max="2" width="14" customWidth="1"/>
    <col min="3" max="8" width="12" customWidth="1"/>
    <col min="9" max="9" width="24" customWidth="1"/>
    <col min="10" max="10" width="12" customWidth="1"/>
  </cols>
  <sheetData>
    <row r="1" spans="1:10" ht="36" customHeight="1">
      <c r="A1" s="4" t="s">
        <v>44</v>
      </c>
      <c r="B1" s="4"/>
      <c r="C1" s="4"/>
      <c r="D1" s="4"/>
      <c r="E1" s="4"/>
      <c r="F1" s="4"/>
      <c r="G1" s="4"/>
      <c r="H1" s="4"/>
      <c r="I1" s="4"/>
      <c r="J1" s="4"/>
    </row>
    <row r="2" spans="1:10" ht="27.75" customHeight="1">
      <c r="A2" s="69" t="s">
        <v>45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75" customHeight="1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</row>
    <row r="4" spans="1:10" ht="18" customHeight="1">
      <c r="A4" s="49" t="s">
        <v>56</v>
      </c>
      <c r="B4" s="50">
        <v>1090141</v>
      </c>
      <c r="C4" s="50">
        <v>773086</v>
      </c>
      <c r="D4" s="51">
        <v>0.70899999999999996</v>
      </c>
      <c r="E4" s="50">
        <v>493932</v>
      </c>
      <c r="F4" s="51">
        <v>0.45300000000000001</v>
      </c>
      <c r="G4" s="50">
        <v>300892</v>
      </c>
      <c r="H4" s="51">
        <v>0.27600000000000002</v>
      </c>
      <c r="I4" s="52" t="s">
        <v>57</v>
      </c>
      <c r="J4" s="53" t="s">
        <v>58</v>
      </c>
    </row>
    <row r="5" spans="1:10" ht="18" customHeight="1">
      <c r="A5" s="54" t="s">
        <v>59</v>
      </c>
      <c r="B5" s="55">
        <v>769732</v>
      </c>
      <c r="C5" s="55">
        <v>485626</v>
      </c>
      <c r="D5" s="56">
        <v>0.63100000000000001</v>
      </c>
      <c r="E5" s="55">
        <v>313484</v>
      </c>
      <c r="F5" s="56">
        <v>0.40699999999999997</v>
      </c>
      <c r="G5" s="55">
        <v>196436</v>
      </c>
      <c r="H5" s="56">
        <v>0.255</v>
      </c>
      <c r="I5" s="52" t="s">
        <v>57</v>
      </c>
      <c r="J5" s="53" t="s">
        <v>58</v>
      </c>
    </row>
    <row r="6" spans="1:10" ht="18" customHeight="1">
      <c r="A6" s="49" t="s">
        <v>60</v>
      </c>
      <c r="B6" s="50">
        <v>590857</v>
      </c>
      <c r="C6" s="50">
        <v>332213</v>
      </c>
      <c r="D6" s="51">
        <v>0.56200000000000006</v>
      </c>
      <c r="E6" s="50">
        <v>215535</v>
      </c>
      <c r="F6" s="51">
        <v>0.36499999999999999</v>
      </c>
      <c r="G6" s="50">
        <v>138919</v>
      </c>
      <c r="H6" s="51">
        <v>0.23499999999999999</v>
      </c>
      <c r="I6" s="52" t="s">
        <v>57</v>
      </c>
      <c r="J6" s="53" t="s">
        <v>58</v>
      </c>
    </row>
    <row r="7" spans="1:10" ht="18" customHeight="1">
      <c r="A7" s="54" t="s">
        <v>61</v>
      </c>
      <c r="B7" s="55">
        <v>475453</v>
      </c>
      <c r="C7" s="55">
        <v>238376</v>
      </c>
      <c r="D7" s="56">
        <v>0.501</v>
      </c>
      <c r="E7" s="55">
        <v>154928</v>
      </c>
      <c r="F7" s="56">
        <v>0.32600000000000001</v>
      </c>
      <c r="G7" s="55">
        <v>102331</v>
      </c>
      <c r="H7" s="56">
        <v>0.215</v>
      </c>
      <c r="I7" s="57" t="s">
        <v>62</v>
      </c>
      <c r="J7" s="58" t="s">
        <v>63</v>
      </c>
    </row>
    <row r="8" spans="1:10" ht="18" customHeight="1">
      <c r="A8" s="49" t="s">
        <v>64</v>
      </c>
      <c r="B8" s="50">
        <v>394408</v>
      </c>
      <c r="C8" s="50">
        <v>175459</v>
      </c>
      <c r="D8" s="51">
        <v>0.44500000000000001</v>
      </c>
      <c r="E8" s="50">
        <v>113954</v>
      </c>
      <c r="F8" s="51">
        <v>0.28899999999999998</v>
      </c>
      <c r="G8" s="50">
        <v>76903</v>
      </c>
      <c r="H8" s="51">
        <v>0.19500000000000001</v>
      </c>
      <c r="I8" s="57" t="s">
        <v>62</v>
      </c>
      <c r="J8" s="58" t="s">
        <v>63</v>
      </c>
    </row>
    <row r="9" spans="1:10" ht="18" customHeight="1">
      <c r="A9" s="54" t="s">
        <v>65</v>
      </c>
      <c r="B9" s="55">
        <v>333751</v>
      </c>
      <c r="C9" s="55">
        <v>131312</v>
      </c>
      <c r="D9" s="56">
        <v>0.39300000000000002</v>
      </c>
      <c r="E9" s="55">
        <v>85358</v>
      </c>
      <c r="F9" s="56">
        <v>0.25600000000000001</v>
      </c>
      <c r="G9" s="55">
        <v>58402</v>
      </c>
      <c r="H9" s="56">
        <v>0.17499999999999999</v>
      </c>
      <c r="I9" s="57" t="s">
        <v>62</v>
      </c>
      <c r="J9" s="58" t="s">
        <v>63</v>
      </c>
    </row>
    <row r="10" spans="1:10" ht="18" customHeight="1">
      <c r="A10" s="49" t="s">
        <v>66</v>
      </c>
      <c r="B10" s="50">
        <v>290304</v>
      </c>
      <c r="C10" s="50">
        <v>102173</v>
      </c>
      <c r="D10" s="51">
        <v>0.35199999999999998</v>
      </c>
      <c r="E10" s="50">
        <v>66862</v>
      </c>
      <c r="F10" s="51">
        <v>0.23</v>
      </c>
      <c r="G10" s="50">
        <v>46245</v>
      </c>
      <c r="H10" s="51">
        <v>0.159</v>
      </c>
      <c r="I10" s="59" t="s">
        <v>67</v>
      </c>
      <c r="J10" s="60" t="s">
        <v>68</v>
      </c>
    </row>
    <row r="11" spans="1:10" ht="18" customHeight="1">
      <c r="A11" s="54" t="s">
        <v>69</v>
      </c>
      <c r="B11" s="55">
        <v>255658</v>
      </c>
      <c r="C11" s="55">
        <v>81473</v>
      </c>
      <c r="D11" s="56">
        <v>0.31900000000000001</v>
      </c>
      <c r="E11" s="55">
        <v>53924</v>
      </c>
      <c r="F11" s="56">
        <v>0.21099999999999999</v>
      </c>
      <c r="G11" s="55">
        <v>37721</v>
      </c>
      <c r="H11" s="56">
        <v>0.14799999999999999</v>
      </c>
      <c r="I11" s="59" t="s">
        <v>67</v>
      </c>
      <c r="J11" s="60" t="s">
        <v>68</v>
      </c>
    </row>
    <row r="12" spans="1:10" ht="18" customHeight="1">
      <c r="A12" s="49" t="s">
        <v>70</v>
      </c>
      <c r="B12" s="50">
        <v>226249</v>
      </c>
      <c r="C12" s="50">
        <v>65356</v>
      </c>
      <c r="D12" s="51">
        <v>0.28899999999999998</v>
      </c>
      <c r="E12" s="50">
        <v>43780</v>
      </c>
      <c r="F12" s="51">
        <v>0.19400000000000001</v>
      </c>
      <c r="G12" s="50">
        <v>30919</v>
      </c>
      <c r="H12" s="51">
        <v>0.13700000000000001</v>
      </c>
      <c r="I12" s="59" t="s">
        <v>67</v>
      </c>
      <c r="J12" s="60" t="s">
        <v>68</v>
      </c>
    </row>
    <row r="13" spans="1:10" ht="18" customHeight="1">
      <c r="A13" s="54" t="s">
        <v>71</v>
      </c>
      <c r="B13" s="55">
        <v>143225</v>
      </c>
      <c r="C13" s="55">
        <v>26458</v>
      </c>
      <c r="D13" s="56">
        <v>0.185</v>
      </c>
      <c r="E13" s="55">
        <v>18386</v>
      </c>
      <c r="F13" s="56">
        <v>0.128</v>
      </c>
      <c r="G13" s="55">
        <v>13343</v>
      </c>
      <c r="H13" s="56">
        <v>9.2999999999999999E-2</v>
      </c>
      <c r="I13" s="61" t="s">
        <v>72</v>
      </c>
      <c r="J13" s="62" t="s">
        <v>73</v>
      </c>
    </row>
    <row r="14" spans="1:10" ht="18" customHeight="1">
      <c r="A14" s="49" t="s">
        <v>74</v>
      </c>
      <c r="B14" s="50">
        <v>61614</v>
      </c>
      <c r="C14" s="50">
        <v>4381</v>
      </c>
      <c r="D14" s="51">
        <v>7.0999999999999994E-2</v>
      </c>
      <c r="E14" s="50">
        <v>3287</v>
      </c>
      <c r="F14" s="51">
        <v>5.2999999999999999E-2</v>
      </c>
      <c r="G14" s="50">
        <v>2442</v>
      </c>
      <c r="H14" s="51">
        <v>0.04</v>
      </c>
      <c r="I14" s="63" t="s">
        <v>75</v>
      </c>
      <c r="J14" s="64" t="s">
        <v>76</v>
      </c>
    </row>
  </sheetData>
  <mergeCells count="2">
    <mergeCell ref="A1:J1"/>
    <mergeCell ref="A2:J2"/>
  </mergeCells>
  <phoneticPr fontId="5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tabSelected="1" zoomScaleNormal="100" workbookViewId="0">
      <selection activeCell="H17" sqref="H17"/>
    </sheetView>
  </sheetViews>
  <sheetFormatPr defaultColWidth="8.7109375" defaultRowHeight="15"/>
  <cols>
    <col min="1" max="1" width="18" customWidth="1"/>
    <col min="2" max="3" width="28" customWidth="1"/>
    <col min="4" max="4" width="32" customWidth="1"/>
  </cols>
  <sheetData>
    <row r="1" spans="1:4" ht="39.75" customHeight="1">
      <c r="A1" s="1" t="s">
        <v>77</v>
      </c>
      <c r="B1" s="1"/>
      <c r="C1" s="1"/>
      <c r="D1" s="1"/>
    </row>
    <row r="2" spans="1:4" ht="19.5" customHeight="1">
      <c r="A2" s="65" t="s">
        <v>78</v>
      </c>
      <c r="B2" s="66" t="s">
        <v>79</v>
      </c>
      <c r="C2" s="67" t="s">
        <v>80</v>
      </c>
      <c r="D2" s="66" t="s">
        <v>81</v>
      </c>
    </row>
    <row r="3" spans="1:4" ht="19.5" customHeight="1">
      <c r="A3" s="68" t="s">
        <v>82</v>
      </c>
      <c r="B3" s="66" t="s">
        <v>83</v>
      </c>
      <c r="C3" s="67" t="s">
        <v>84</v>
      </c>
      <c r="D3" s="66" t="s">
        <v>85</v>
      </c>
    </row>
    <row r="4" spans="1:4" ht="19.5" customHeight="1">
      <c r="A4" s="68" t="s">
        <v>86</v>
      </c>
      <c r="B4" s="66" t="s">
        <v>87</v>
      </c>
      <c r="C4" s="67" t="s">
        <v>88</v>
      </c>
      <c r="D4" s="66" t="s">
        <v>37</v>
      </c>
    </row>
    <row r="5" spans="1:4" ht="19.5" customHeight="1">
      <c r="A5" s="68" t="s">
        <v>89</v>
      </c>
      <c r="B5" s="66" t="s">
        <v>90</v>
      </c>
      <c r="C5" s="67" t="s">
        <v>91</v>
      </c>
      <c r="D5" s="66" t="s">
        <v>39</v>
      </c>
    </row>
    <row r="6" spans="1:4" ht="19.5" customHeight="1">
      <c r="A6" s="68" t="s">
        <v>92</v>
      </c>
      <c r="B6" s="66" t="s">
        <v>93</v>
      </c>
      <c r="C6" s="67" t="s">
        <v>94</v>
      </c>
      <c r="D6" s="66" t="s">
        <v>95</v>
      </c>
    </row>
    <row r="8" spans="1:4" ht="19.5" customHeight="1">
      <c r="A8" s="65" t="s">
        <v>96</v>
      </c>
      <c r="B8" s="66" t="s">
        <v>97</v>
      </c>
      <c r="C8" s="66" t="s">
        <v>98</v>
      </c>
      <c r="D8" s="66" t="s">
        <v>99</v>
      </c>
    </row>
    <row r="9" spans="1:4" ht="19.5" customHeight="1">
      <c r="A9" s="65" t="s">
        <v>54</v>
      </c>
      <c r="B9" s="67" t="s">
        <v>100</v>
      </c>
      <c r="C9" s="67" t="s">
        <v>101</v>
      </c>
      <c r="D9" s="67" t="s">
        <v>102</v>
      </c>
    </row>
  </sheetData>
  <mergeCells count="1">
    <mergeCell ref="A1:D1"/>
  </mergeCells>
  <phoneticPr fontId="5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用户价值分层</vt:lpstr>
      <vt:lpstr>行为间隔分析</vt:lpstr>
      <vt:lpstr>流失回流率</vt:lpstr>
      <vt:lpstr>分析摘要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2026-06-26T15:28:57Z</dcterms:created>
  <dcterms:modified xsi:type="dcterms:W3CDTF">2026-06-26T15:38:22Z</dcterms:modified>
  <dc:language>en-US</dc:language>
</cp:coreProperties>
</file>
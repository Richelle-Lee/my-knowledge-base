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复存汇总" sheetId="2" r:id="rId5"/>
    <sheet name="充值总额" sheetId="3" r:id="rId6"/>
    <sheet name="充提差比" sheetId="4" r:id="rId7"/>
    <sheet name="取款金额" sheetId="5" r:id="rId8"/>
    <sheet name="充提差金额" sheetId="6" r:id="rId9"/>
    <sheet name="首充人数" sheetId="7" r:id="rId10"/>
    <sheet name="LETJOY充值总额" sheetId="8" r:id="rId11"/>
    <sheet name="充值成功率数据" sheetId="9" r:id="rId12"/>
    <sheet name="总代对比" sheetId="10" r:id="rId13"/>
    <sheet name="渠道对比" sheetId="11" r:id="rId14"/>
    <sheet name="总表" sheetId="12" r:id="rId15"/>
    <sheet name="AFUNBR召回" sheetId="13" r:id="rId1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<sst xmlns="http://schemas.openxmlformats.org/spreadsheetml/2006/main" count="264" uniqueCount="264">
  <si>
    <t xml:space="preserve">  </t>
  </si>
  <si>
    <t xml:space="preserve">首充复存率</t>
  </si>
  <si>
    <t xml:space="preserve">首充会员</t>
  </si>
  <si>
    <t xml:space="preserve">巴西盘</t>
  </si>
  <si>
    <t xml:space="preserve">日期</t>
  </si>
  <si>
    <t xml:space="preserve">9Z
（短信）</t>
  </si>
  <si>
    <t xml:space="preserve">8T
（网红）</t>
  </si>
  <si>
    <t xml:space="preserve">3U
（投放）</t>
  </si>
  <si>
    <t xml:space="preserve">DR8
（网红）</t>
  </si>
  <si>
    <t xml:space="preserve">BETAYA
（网红）</t>
  </si>
  <si>
    <t xml:space="preserve">letjoy
复存：23%-25%
（投放）</t>
  </si>
  <si>
    <t xml:space="preserve">7co.bet
（网红）</t>
  </si>
  <si>
    <t xml:space="preserve">Ugame
（网红）</t>
  </si>
  <si>
    <t xml:space="preserve">T76
（短信/投放）</t>
  </si>
  <si>
    <t xml:space="preserve">Tanobet
（投放）</t>
  </si>
  <si>
    <t xml:space="preserve">6pub
（网红）</t>
  </si>
  <si>
    <t xml:space="preserve">VGJOGO</t>
  </si>
  <si>
    <t xml:space="preserve">UJOY
（网红）</t>
  </si>
  <si>
    <t xml:space="preserve"> - </t>
  </si>
  <si>
    <t xml:space="preserve">总计</t>
  </si>
  <si>
    <t xml:space="preserve">历史数据</t>
  </si>
  <si>
    <t xml:space="preserve">平均值</t>
  </si>
  <si>
    <t xml:space="preserve">充值金额（u）</t>
  </si>
  <si>
    <t xml:space="preserve">巴西盘</t>
  </si>
  <si>
    <t xml:space="preserve">日期</t>
  </si>
  <si>
    <t xml:space="preserve">9Z
（短信）</t>
  </si>
  <si>
    <t xml:space="preserve">8T
（网红）</t>
  </si>
  <si>
    <t xml:space="preserve">3U
（投放）</t>
  </si>
  <si>
    <t xml:space="preserve">DR8
（网红）</t>
  </si>
  <si>
    <t xml:space="preserve">BETAYA
（网红）</t>
  </si>
  <si>
    <t xml:space="preserve">letjoy
（投放）</t>
  </si>
  <si>
    <t xml:space="preserve">7co.bet
（网红）</t>
  </si>
  <si>
    <t xml:space="preserve">Ugame
（网红）</t>
  </si>
  <si>
    <t xml:space="preserve">T76
（短信/投放）</t>
  </si>
  <si>
    <t xml:space="preserve">Tanobet
（投放）</t>
  </si>
  <si>
    <t xml:space="preserve">6pub
（网红）</t>
  </si>
  <si>
    <t xml:space="preserve">UJOY
（网红）</t>
  </si>
  <si>
    <t xml:space="preserve">总计</t>
  </si>
  <si>
    <t xml:space="preserve">平均</t>
  </si>
  <si>
    <t xml:space="preserve">状态</t>
  </si>
  <si>
    <t xml:space="preserve">还差多少</t>
  </si>
  <si>
    <t xml:space="preserve">已完成</t>
  </si>
  <si>
    <t xml:space="preserve">还差</t>
  </si>
  <si>
    <t xml:space="preserve">预计每日需要</t>
  </si>
  <si>
    <t xml:space="preserve">充提差比</t>
  </si>
  <si>
    <t xml:space="preserve">充提差比 20% - 30%， 低于20% 需要重点注意</t>
  </si>
  <si>
    <t xml:space="preserve">巴西盘</t>
  </si>
  <si>
    <t xml:space="preserve">历史数据</t>
  </si>
  <si>
    <t xml:space="preserve">日期</t>
  </si>
  <si>
    <t xml:space="preserve">9Z
（短信）</t>
  </si>
  <si>
    <t xml:space="preserve">8T
（网红）</t>
  </si>
  <si>
    <t xml:space="preserve">3U
（投放）</t>
  </si>
  <si>
    <t xml:space="preserve">DR8
（网红）</t>
  </si>
  <si>
    <t xml:space="preserve">BETAYA
（网红）</t>
  </si>
  <si>
    <t xml:space="preserve">letjoy
（投放）</t>
  </si>
  <si>
    <t xml:space="preserve">7co.bet
（网红）</t>
  </si>
  <si>
    <t xml:space="preserve">Ugame
（网红）</t>
  </si>
  <si>
    <t xml:space="preserve">T76
（短信/投放）</t>
  </si>
  <si>
    <t xml:space="preserve">Tanobet
（投放）</t>
  </si>
  <si>
    <t xml:space="preserve">6pub
（网红）</t>
  </si>
  <si>
    <t xml:space="preserve">UJOY
（网红）</t>
  </si>
  <si>
    <t xml:space="preserve">平均值</t>
  </si>
  <si>
    <t xml:space="preserve">9Z</t>
  </si>
  <si>
    <t xml:space="preserve">8T</t>
  </si>
  <si>
    <t xml:space="preserve">3U</t>
  </si>
  <si>
    <t xml:space="preserve">DR8</t>
  </si>
  <si>
    <t xml:space="preserve">BETAYA</t>
  </si>
  <si>
    <t xml:space="preserve">7CO</t>
  </si>
  <si>
    <t xml:space="preserve">LETJOY</t>
  </si>
  <si>
    <t xml:space="preserve">T76</t>
  </si>
  <si>
    <t xml:space="preserve">UGAME</t>
  </si>
  <si>
    <t xml:space="preserve">Tanobet</t>
  </si>
  <si>
    <t xml:space="preserve">6pub</t>
  </si>
  <si>
    <t xml:space="preserve">2月</t>
  </si>
  <si>
    <t xml:space="preserve">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</si>
  <si>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</si>
  <si>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</si>
  <si>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</si>
  <si>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</si>
  <si>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</si>
  <si>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</si>
  <si>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</si>
  <si>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</si>
  <si>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</si>
  <si>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总计</t>
  </si>
  <si>
    <t xml:space="preserve">巴西盘</t>
  </si>
  <si>
    <t xml:space="preserve">日期</t>
  </si>
  <si>
    <t xml:space="preserve">9Z
（短信）</t>
  </si>
  <si>
    <t xml:space="preserve">8T
（网红）</t>
  </si>
  <si>
    <t xml:space="preserve">3U
（投放）</t>
  </si>
  <si>
    <t xml:space="preserve">DR8
（网红）</t>
  </si>
  <si>
    <t xml:space="preserve">BETAYA
（网红）</t>
  </si>
  <si>
    <t xml:space="preserve">letjoy
（投放）</t>
  </si>
  <si>
    <t xml:space="preserve">7co.bet
（网红）</t>
  </si>
  <si>
    <t xml:space="preserve">Ugame
（网红）</t>
  </si>
  <si>
    <t xml:space="preserve">T76
（短信/投放）</t>
  </si>
  <si>
    <t xml:space="preserve">Tanobet
（投放）</t>
  </si>
  <si>
    <t xml:space="preserve">6pub
（网红）</t>
  </si>
  <si>
    <t xml:space="preserve">UJOY
（网红）</t>
  </si>
  <si>
    <t xml:space="preserve">总计</t>
  </si>
  <si>
    <t xml:space="preserve"> </t>
  </si>
  <si>
    <t xml:space="preserve">巴西盘</t>
  </si>
  <si>
    <t xml:space="preserve">日期</t>
  </si>
  <si>
    <t xml:space="preserve">9Z
（短信）</t>
  </si>
  <si>
    <t xml:space="preserve">8T
（网红）</t>
  </si>
  <si>
    <t xml:space="preserve">3U
（投放）</t>
  </si>
  <si>
    <t xml:space="preserve">DR8
（网红）</t>
  </si>
  <si>
    <t xml:space="preserve">BETAYA
（网红）</t>
  </si>
  <si>
    <t xml:space="preserve">letjoy
（投放）</t>
  </si>
  <si>
    <t xml:space="preserve">7co.bet
（网红）</t>
  </si>
  <si>
    <t xml:space="preserve">Ugame
（网红）</t>
  </si>
  <si>
    <t xml:space="preserve">T76
（短信/投放）</t>
  </si>
  <si>
    <t xml:space="preserve">Tanobet
（投放）</t>
  </si>
  <si>
    <t xml:space="preserve">6pub
（网红）</t>
  </si>
  <si>
    <t xml:space="preserve">UJOY
（网红）</t>
  </si>
  <si>
    <t xml:space="preserve">总计</t>
  </si>
  <si>
    <t xml:space="preserve">巴西盘</t>
  </si>
  <si>
    <t xml:space="preserve">日期</t>
  </si>
  <si>
    <t xml:space="preserve">9Z
（短信）</t>
  </si>
  <si>
    <t xml:space="preserve">8T
（网红）</t>
  </si>
  <si>
    <t xml:space="preserve">3U
（投放）</t>
  </si>
  <si>
    <t xml:space="preserve">DR8
（网红）</t>
  </si>
  <si>
    <t xml:space="preserve">BETAYA
（网红）</t>
  </si>
  <si>
    <t xml:space="preserve">letjoy
（投放）</t>
  </si>
  <si>
    <t xml:space="preserve">7co.bet
（网红）</t>
  </si>
  <si>
    <t xml:space="preserve">Ugame
（网红）</t>
  </si>
  <si>
    <t xml:space="preserve">T76
（短信/投放）</t>
  </si>
  <si>
    <t xml:space="preserve">Tanobet
（投放）</t>
  </si>
  <si>
    <t xml:space="preserve">6pub
（网红）</t>
  </si>
  <si>
    <t xml:space="preserve">UJOY
（网红）</t>
  </si>
  <si>
    <t xml:space="preserve">总计</t>
  </si>
  <si>
    <t xml:space="preserve"> - </t>
  </si>
  <si>
    <t xml:space="preserve">充值金额（u）</t>
  </si>
  <si>
    <t xml:space="preserve">2个月达到日充值金额50W美金</t>
  </si>
  <si>
    <t xml:space="preserve">日期</t>
  </si>
  <si>
    <t xml:space="preserve">letjoy</t>
  </si>
  <si>
    <t xml:space="preserve">总计</t>
  </si>
  <si>
    <t xml:space="preserve">LETJOY</t>
  </si>
  <si>
    <t xml:space="preserve">T76</t>
  </si>
  <si>
    <t xml:space="preserve">总代</t>
  </si>
  <si>
    <t xml:space="preserve">10 ~ 20</t>
  </si>
  <si>
    <t xml:space="preserve">21 ~ 30</t>
  </si>
  <si>
    <t xml:space="preserve">31 ~ 40</t>
  </si>
  <si>
    <t xml:space="preserve">41 ~ 50</t>
  </si>
  <si>
    <t xml:space="preserve">51 ~ 100</t>
  </si>
  <si>
    <t xml:space="preserve">101 ~ 300</t>
  </si>
  <si>
    <t xml:space="preserve">301 ~ 500</t>
  </si>
  <si>
    <t xml:space="preserve">501 ~ 1000</t>
  </si>
  <si>
    <t xml:space="preserve">1001 ~ 5000</t>
  </si>
  <si>
    <t xml:space="preserve">5001以上</t>
  </si>
  <si>
    <t xml:space="preserve">提交订单未充值5条以上的玩家</t>
  </si>
  <si>
    <t xml:space="preserve">充值订单</t>
  </si>
  <si>
    <t xml:space="preserve">玩家ID</t>
  </si>
  <si>
    <t xml:space="preserve">提交订单未存款数</t>
  </si>
  <si>
    <t xml:space="preserve">充值成功订单</t>
  </si>
  <si>
    <t xml:space="preserve">支付成功</t>
  </si>
  <si>
    <t xml:space="preserve">支付成功占比</t>
  </si>
  <si>
    <t xml:space="preserve">等待支付</t>
  </si>
  <si>
    <t xml:space="preserve">等待支付占比</t>
  </si>
  <si>
    <t xml:space="preserve">下单失败</t>
  </si>
  <si>
    <t xml:space="preserve">下单失败占比</t>
  </si>
  <si>
    <t xml:space="preserve">等待支付去重后账号</t>
  </si>
  <si>
    <t xml:space="preserve">同IP账号</t>
  </si>
  <si>
    <t xml:space="preserve">LETJOY人数</t>
  </si>
  <si>
    <t xml:space="preserve">订单</t>
  </si>
  <si>
    <t xml:space="preserve">LETJOY 官方总代</t>
  </si>
  <si>
    <t xml:space="preserve">BETAYA 官方总代</t>
  </si>
  <si>
    <t xml:space="preserve">7CO 官方总代</t>
  </si>
  <si>
    <t xml:space="preserve">8T 官方总代</t>
  </si>
  <si>
    <t xml:space="preserve">DR8 官方总代</t>
  </si>
  <si>
    <t xml:space="preserve">UGAME 官方总代</t>
  </si>
  <si>
    <t xml:space="preserve">T76 官方总代</t>
  </si>
  <si>
    <t xml:space="preserve">TANOBET 官方总代</t>
  </si>
  <si>
    <t xml:space="preserve">充值订单</t>
  </si>
  <si>
    <t xml:space="preserve">支付成功</t>
  </si>
  <si>
    <t xml:space="preserve">支付成功占比</t>
  </si>
  <si>
    <t xml:space="preserve">等待支付</t>
  </si>
  <si>
    <t xml:space="preserve">等待支付占比</t>
  </si>
  <si>
    <t xml:space="preserve">下单失败</t>
  </si>
  <si>
    <t xml:space="preserve">下单失败占比</t>
  </si>
  <si>
    <t xml:space="preserve">LETJOY 网红总代</t>
  </si>
  <si>
    <t xml:space="preserve">BETAYA 网红总代</t>
  </si>
  <si>
    <t xml:space="preserve">7CO 网红总代</t>
  </si>
  <si>
    <t xml:space="preserve">8T 网红总代</t>
  </si>
  <si>
    <t xml:space="preserve">DR8 网红总代</t>
  </si>
  <si>
    <t xml:space="preserve">UGAME 网红总代</t>
  </si>
  <si>
    <t xml:space="preserve">LETJOY 投放总代</t>
  </si>
  <si>
    <t xml:space="preserve">T76投放总代</t>
  </si>
  <si>
    <t xml:space="preserve">TANOBET投放总代</t>
  </si>
  <si>
    <t xml:space="preserve">LETJOY 顺丰总代</t>
  </si>
  <si>
    <t xml:space="preserve">渠道号</t>
  </si>
  <si>
    <t xml:space="preserve">5月3日充值订单</t>
  </si>
  <si>
    <t xml:space="preserve">支付成功</t>
  </si>
  <si>
    <t xml:space="preserve">支付成功占比</t>
  </si>
  <si>
    <t xml:space="preserve">等待支付</t>
  </si>
  <si>
    <t xml:space="preserve">等待支付占比</t>
  </si>
  <si>
    <t xml:space="preserve">下单失败</t>
  </si>
  <si>
    <t xml:space="preserve">下单失败占比</t>
  </si>
  <si>
    <t xml:space="preserve">日期</t>
  </si>
  <si>
    <t xml:space="preserve">9Z</t>
  </si>
  <si>
    <t xml:space="preserve">8T</t>
  </si>
  <si>
    <t xml:space="preserve">3U</t>
  </si>
  <si>
    <t xml:space="preserve">DR8</t>
  </si>
  <si>
    <t xml:space="preserve">BETAYA</t>
  </si>
  <si>
    <t xml:space="preserve">letjoy</t>
  </si>
  <si>
    <t xml:space="preserve">7co.bet</t>
  </si>
  <si>
    <t xml:space="preserve">Ugame</t>
  </si>
  <si>
    <t xml:space="preserve">T76</t>
  </si>
  <si>
    <t xml:space="preserve">Tanobet</t>
  </si>
  <si>
    <t xml:space="preserve">6pub</t>
  </si>
  <si>
    <t xml:space="preserve">总表（LETJOY + BETAYA + 7CO + 8T + DR8 + UGAME + 9Z + 3U + T76 + TANOBET + 6PUB + UJOY）</t>
  </si>
  <si>
    <t xml:space="preserve">日期</t>
  </si>
  <si>
    <t xml:space="preserve">首充人数</t>
  </si>
  <si>
    <t xml:space="preserve">总充值金额（U）</t>
  </si>
  <si>
    <t xml:space="preserve">总提现金额（U）</t>
  </si>
  <si>
    <t xml:space="preserve">总充提差（U）</t>
  </si>
  <si>
    <t xml:space="preserve">总充提差率</t>
  </si>
  <si>
    <t xml:space="preserve">日期</t>
  </si>
  <si>
    <t xml:space="preserve">玩家</t>
  </si>
  <si>
    <t xml:space="preserve">召回方案</t>
  </si>
  <si>
    <t xml:space="preserve">推送模式</t>
  </si>
  <si>
    <t xml:space="preserve">VIP1 - VIP2</t>
  </si>
  <si>
    <t xml:space="preserve">1 金额</t>
  </si>
  <si>
    <t xml:space="preserve">推送、邮箱、RCS</t>
  </si>
  <si>
    <t xml:space="preserve">VIP3</t>
  </si>
  <si>
    <t xml:space="preserve">2 金额</t>
  </si>
  <si>
    <t xml:space="preserve">VIP4</t>
  </si>
  <si>
    <t xml:space="preserve">5 金额</t>
  </si>
  <si>
    <t xml:space="preserve">VIP5</t>
  </si>
  <si>
    <t xml:space="preserve">20 金额</t>
  </si>
  <si>
    <t xml:space="preserve">VIP6</t>
  </si>
  <si>
    <t xml:space="preserve">80 金额</t>
  </si>
  <si>
    <t xml:space="preserve">VIP7</t>
  </si>
  <si>
    <t xml:space="preserve">200 金额</t>
  </si>
  <si>
    <t xml:space="preserve">VIP8 - VIP9</t>
  </si>
  <si>
    <t xml:space="preserve">500 金额</t>
  </si>
  <si>
    <t xml:space="preserve">VIP10 - VIP15</t>
  </si>
  <si>
    <t xml:space="preserve">5000 金额</t>
  </si>
  <si>
    <t xml:space="preserve">10 体育投免费投注道具</t>
  </si>
  <si>
    <t xml:space="preserve">0.5*20 PG 免费旋转道具</t>
  </si>
  <si>
    <t xml:space="preserve">20 体育投免费投注道具</t>
  </si>
  <si>
    <t xml:space="preserve">0.5*40 PG 免费旋转道具</t>
  </si>
  <si>
    <t xml:space="preserve">30 体育投免费投注道具</t>
  </si>
  <si>
    <t xml:space="preserve">0.5*60 PG 免费旋转道具</t>
  </si>
  <si>
    <t xml:space="preserve">100 体育投免费投注道具</t>
  </si>
  <si>
    <t xml:space="preserve">2*50 PG 免费旋转道具</t>
  </si>
  <si>
    <t xml:space="preserve">每周一 + 周二</t>
  </si>
  <si>
    <t xml:space="preserve">现金道具（发放钱包：彩金）5 BRL，7倍流水</t>
  </si>
  <si>
    <t xml:space="preserve">免费投注（PG 0.5*10） 5 BRL，7倍流水</t>
  </si>
  <si>
    <t xml:space="preserve">每周三</t>
  </si>
  <si>
    <t xml:space="preserve">现金道具（发放钱包：彩金）10 BRL，7倍流水</t>
  </si>
  <si>
    <t xml:space="preserve">免费投注（PG 0.5*20） 10 BRL，7倍流水</t>
  </si>
  <si>
    <t xml:space="preserve">周四：</t>
  </si>
  <si>
    <t xml:space="preserve">现金道具（发放钱包：本金）5 BRL，0倍流水</t>
  </si>
  <si>
    <t xml:space="preserve">现金道具（发放钱包：彩金）25 BRL，7倍流水</t>
  </si>
  <si>
    <t xml:space="preserve">免费投注（PG 0.5*50） 25 BRL，7倍流水</t>
  </si>
  <si>
    <t xml:space="preserve">周五：</t>
  </si>
  <si>
    <t xml:space="preserve">现金道具（发放钱包：本金）20 BRL，0倍流水</t>
  </si>
  <si>
    <t xml:space="preserve">现金道具（发放钱包：彩金）100 BRL，7倍流水</t>
  </si>
  <si>
    <t xml:space="preserve">免费投注（PG 2*50） 100 BRL，7倍流水</t>
  </si>
  <si>
    <t xml:space="preserve">现金道具（发放钱包：本金）80 BRL，0倍流水</t>
  </si>
  <si>
    <t xml:space="preserve">现金道具（发放钱包：本金）200 BRL，0倍流水</t>
  </si>
  <si>
    <t xml:space="preserve">现金道具（发放钱包：本金）500 BRL，0倍流水</t>
  </si>
  <si>
    <t xml:space="preserve">现金道具（发放钱包：本金）5000 BRL，0倍流水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</si>
</sst>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164" formatCode="m月d日"/>
    <numFmt numFmtId="165" formatCode="0.00%"/>
    <numFmt numFmtId="166" formatCode="#,##0.00_);(#,##0.00)"/>
    <numFmt numFmtId="167" formatCode="#,##0.000_);(#,##0.000)"/>
    <numFmt numFmtId="168" formatCode="0.00%"/>
    <numFmt numFmtId="169" formatCode="m月d日"/>
    <numFmt numFmtId="170" formatCode="#,##0_);(#,##0)"/>
    <numFmt numFmtId="171" formatCode="#,##0.00"/>
    <numFmt numFmtId="172" formatCode="#,##0.00_);(#,##0.00)"/>
    <numFmt numFmtId="173" formatCode="m月d日"/>
    <numFmt numFmtId="174" formatCode="0.00%"/>
    <numFmt numFmtId="175" formatCode="#,##0.00"/>
    <numFmt numFmtId="176" formatCode="#,##0.00_);(#,##0.00)"/>
    <numFmt numFmtId="177" formatCode="m月d日"/>
    <numFmt numFmtId="178" formatCode="#,##0.00"/>
    <numFmt numFmtId="179" formatCode="#,##0.00_);(#,##0.00)"/>
    <numFmt numFmtId="180" formatCode="m月d日"/>
    <numFmt numFmtId="181" formatCode="#,##0.00"/>
    <numFmt numFmtId="182" formatCode="#,##0.000_);(#,##0.000)"/>
    <numFmt numFmtId="183" formatCode="#,##0_);(#,##0)"/>
    <numFmt numFmtId="184" formatCode="m月d日"/>
    <numFmt numFmtId="185" formatCode="#,##0.00"/>
    <numFmt numFmtId="186" formatCode="#,##0"/>
    <numFmt numFmtId="187" formatCode="#,##0.000_);(#,##0.000)"/>
    <numFmt numFmtId="188" formatCode="0.00%"/>
    <numFmt numFmtId="189" formatCode="m月d日"/>
    <numFmt numFmtId="190" formatCode="#,##0.00"/>
    <numFmt numFmtId="191" formatCode="0.00%"/>
    <numFmt numFmtId="192" formatCode="#,##0_);(#,##0)"/>
    <numFmt numFmtId="193" formatCode="0.00%"/>
    <numFmt numFmtId="194" formatCode="#,##0_);(#,##0)"/>
    <numFmt numFmtId="195" formatCode="0.00%"/>
    <numFmt numFmtId="196" formatCode="m月d日"/>
    <numFmt numFmtId="197" formatCode="#,##0"/>
    <numFmt numFmtId="198" formatCode="#,##0.000"/>
    <numFmt numFmtId="199" formatCode="0%"/>
    <numFmt numFmtId="200" formatCode="m月d日"/>
    <numFmt numFmtId="201" formatCode="0.00%"/>
    <numFmt numFmtId="202" formatCode="m月d日"/>
  </numFmts>
  <fonts count="34">
    <font>
      <sz val="10"/>
      <color theme="1"/>
      <name val="Calibri"/>
      <family val="2"/>
      <scheme val="minor"/>
    </font>
    <font>
      <b val="true"/>
      <sz val="18"/>
      <color rgb="FFF54A45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微软雅黑"/>
      <family val="2"/>
    </font>
    <font>
      <sz val="12"/>
      <color rgb="FF000000"/>
      <name val="Calibri"/>
      <family val="2"/>
      <scheme val="minor"/>
    </font>
    <font>
      <b val="true"/>
      <sz val="12"/>
      <color rgb="FF7F3BF5"/>
      <name val="Calibri"/>
      <family val="2"/>
      <scheme val="minor"/>
    </font>
    <font>
      <sz val="10"/>
      <color rgb="FFFFFFFF"/>
      <name val="Calibri"/>
      <family val="2"/>
      <scheme val="minor"/>
    </font>
    <font>
      <b val="true"/>
      <sz val="10"/>
      <color rgb="FF7F3BF5"/>
      <name val="Calibri"/>
      <family val="2"/>
      <scheme val="minor"/>
    </font>
    <font>
      <sz val="12"/>
      <color rgb="FF000000"/>
      <name val="微软雅黑"/>
      <family val="2"/>
    </font>
    <font>
      <sz val="12"/>
      <color rgb="FFF54A45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b val="true"/>
      <sz val="18"/>
      <color rgb="FFF54A45"/>
      <name val="微软雅黑"/>
      <family val="2"/>
    </font>
    <font>
      <sz val="10"/>
      <color rgb="FF000000"/>
      <name val="微软雅黑"/>
      <family val="2"/>
    </font>
    <font>
      <b val="true"/>
      <sz val="10"/>
      <color rgb="FFF54A45"/>
      <name val="微软雅黑"/>
      <family val="2"/>
    </font>
    <font>
      <b val="true"/>
      <sz val="10"/>
      <color rgb="FF7F3BF5"/>
      <name val="微软雅黑"/>
      <family val="2"/>
    </font>
    <font>
      <b val="true"/>
      <sz val="12"/>
      <color rgb="FF000000"/>
      <name val="微软雅黑"/>
      <family val="2"/>
    </font>
    <font>
      <sz val="10"/>
      <color rgb="FFFFFFFF"/>
      <name val="微软雅黑"/>
      <family val="2"/>
    </font>
    <font>
      <b val="true"/>
      <sz val="12"/>
      <color rgb="FFF54A45"/>
      <name val="微软雅黑"/>
      <family val="2"/>
    </font>
    <font>
      <b val="true"/>
      <sz val="12"/>
      <color rgb="FF1F2329"/>
      <name val="微软雅黑"/>
      <family val="2"/>
    </font>
    <font>
      <b val="true"/>
      <sz val="12"/>
      <color rgb="FF1F2329"/>
      <name val="Calibri"/>
      <family val="2"/>
      <scheme val="minor"/>
    </font>
    <font>
      <b val="true"/>
      <sz val="10"/>
      <color rgb="FF1F2329"/>
      <name val="微软雅黑"/>
      <family val="2"/>
    </font>
    <font>
      <sz val="12"/>
      <color rgb="FF1F2329"/>
      <name val="微软雅黑"/>
      <family val="2"/>
    </font>
    <font>
      <sz val="10"/>
      <color rgb="FF000000"/>
      <name val="微软雅黑"/>
      <family val="2"/>
    </font>
    <font>
      <sz val="11"/>
      <color rgb="FF000000"/>
      <name val="微软雅黑"/>
      <family val="2"/>
    </font>
    <font>
      <sz val="10"/>
      <color rgb="FFF54A45"/>
      <name val="微软雅黑"/>
      <family val="2"/>
    </font>
    <font>
      <sz val="10"/>
      <color rgb="FF1F2329"/>
      <name val="Calibri"/>
      <family val="2"/>
      <scheme val="minor"/>
    </font>
    <font>
      <b val="true"/>
      <sz val="18"/>
      <color rgb="FFFFFFFF"/>
      <name val="Calibri"/>
      <family val="2"/>
      <scheme val="minor"/>
    </font>
    <font>
      <b val="true"/>
      <sz val="11"/>
      <color rgb="FFF54A45"/>
      <name val="微软雅黑"/>
      <family val="2"/>
    </font>
    <font>
      <sz val="11"/>
      <color rgb="FF000000"/>
      <name val="微软雅黑"/>
      <family val="2"/>
    </font>
    <font>
      <b val="true"/>
      <sz val="11"/>
      <color rgb="FFF54A45"/>
      <name val="Calibri"/>
      <family val="2"/>
      <scheme val="minor"/>
    </font>
    <font>
      <b val="true"/>
      <sz val="11"/>
      <color rgb="FF000000"/>
      <name val="微软雅黑"/>
      <family val="2"/>
    </font>
  </fonts>
  <fills count="5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FED4A4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373C43"/>
        <bgColor/>
      </patternFill>
    </fill>
    <fill>
      <patternFill patternType="solid">
        <fgColor rgb="FFDEE0E3"/>
        <bgColor/>
      </patternFill>
    </fill>
    <fill>
      <patternFill patternType="solid">
        <fgColor rgb="FFFED4A4"/>
        <bgColor/>
      </patternFill>
    </fill>
    <fill>
      <patternFill patternType="solid">
        <fgColor rgb="FFFAF1D1"/>
        <bgColor/>
      </patternFill>
    </fill>
    <fill>
      <patternFill patternType="solid">
        <fgColor rgb="FF8F959E"/>
        <bgColor/>
      </patternFill>
    </fill>
    <fill>
      <patternFill patternType="solid">
        <fgColor rgb="FFFFF258"/>
        <bgColor/>
      </patternFill>
    </fill>
    <fill>
      <patternFill patternType="solid">
        <fgColor rgb="FFFAFAFA"/>
        <bgColor/>
      </patternFill>
    </fill>
    <fill>
      <patternFill patternType="solid">
        <fgColor rgb="FFF0F0F0"/>
        <bgColor/>
      </patternFill>
    </fill>
    <fill>
      <patternFill patternType="solid">
        <fgColor rgb="FF1F2329"/>
        <bgColor/>
      </patternFill>
    </fill>
    <fill>
      <patternFill patternType="solid">
        <fgColor rgb="FFDEE0E3"/>
        <bgColor/>
      </patternFill>
    </fill>
    <fill>
      <patternFill patternType="solid">
        <fgColor rgb="FFFED4A4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E1EAFF"/>
        <bgColor/>
      </patternFill>
    </fill>
    <fill>
      <patternFill patternType="solid">
        <fgColor rgb="FF8F959E"/>
        <bgColor/>
      </patternFill>
    </fill>
    <fill>
      <patternFill patternType="solid">
        <fgColor rgb="FFFAFAFA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FED4A4"/>
        <bgColor/>
      </patternFill>
    </fill>
    <fill>
      <patternFill patternType="solid">
        <fgColor rgb="FF8F959E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FDDDEF"/>
        <bgColor/>
      </patternFill>
    </fill>
    <fill>
      <patternFill patternType="solid">
        <fgColor rgb="FF8F959E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ECE2FE"/>
        <bgColor/>
      </patternFill>
    </fill>
    <fill>
      <patternFill patternType="solid">
        <fgColor rgb="FFFAF1D1"/>
        <bgColor/>
      </patternFill>
    </fill>
    <fill>
      <patternFill patternType="solid">
        <fgColor rgb="FF8F959E"/>
        <bgColor/>
      </patternFill>
    </fill>
    <fill>
      <patternFill patternType="solid">
        <fgColor rgb="FFDEE0E3"/>
        <bgColor/>
      </patternFill>
    </fill>
    <fill>
      <patternFill patternType="solid">
        <fgColor rgb="FFFED4A4"/>
        <bgColor/>
      </patternFill>
    </fill>
    <fill>
      <patternFill patternType="solid">
        <fgColor rgb="FF7EDAFB"/>
        <bgColor/>
      </patternFill>
    </fill>
    <fill>
      <patternFill patternType="solid">
        <fgColor rgb="FFFAFAFA"/>
        <bgColor/>
      </patternFill>
    </fill>
    <fill>
      <patternFill patternType="solid">
        <fgColor rgb="FFF0F0F0"/>
        <bgColor/>
      </patternFill>
    </fill>
    <fill>
      <patternFill patternType="solid">
        <fgColor rgb="FFFAF1D1"/>
        <bgColor/>
      </patternFill>
    </fill>
    <fill>
      <patternFill patternType="solid">
        <fgColor rgb="FF1F2329"/>
        <bgColor/>
      </patternFill>
    </fill>
    <fill>
      <patternFill patternType="solid">
        <fgColor rgb="FFFAF1D1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FBBFBC"/>
        <bgColor/>
      </patternFill>
    </fill>
    <fill>
      <patternFill patternType="solid">
        <fgColor rgb="FFDEE0E3"/>
        <bgColor/>
      </patternFill>
    </fill>
    <fill>
      <patternFill patternType="solid">
        <fgColor rgb="FFEEF6C6"/>
        <bgColor/>
      </patternFill>
    </fill>
    <fill>
      <patternFill patternType="solid">
        <fgColor rgb="FF8F959E"/>
        <bgColor/>
      </patternFill>
    </fill>
    <fill>
      <patternFill patternType="solid">
        <fgColor rgb="FFD9F3FD"/>
        <bgColor/>
      </patternFill>
    </fill>
  </fills>
  <borders count="28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1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1" fillId="2" fontId="3" numFmtId="0" xfId="0">
      <alignment horizontal="center" vertical="center"/>
    </xf>
    <xf applyAlignment="true" applyBorder="false" applyFill="true" applyFont="true" applyNumberFormat="false" applyProtection="false" borderId="2" fillId="3" fontId="3" numFmtId="0" xfId="0">
      <alignment horizontal="center" vertical="center"/>
    </xf>
    <xf applyAlignment="true" applyBorder="false" applyFill="true" applyFont="true" applyNumberFormat="false" applyProtection="false" borderId="3" fillId="3" fontId="3" numFmtId="0" xfId="0">
      <alignment horizontal="center" vertical="center"/>
    </xf>
    <xf applyAlignment="true" applyBorder="false" applyFill="true" applyFont="true" applyNumberFormat="false" applyProtection="false" borderId="2" fillId="4" fontId="3" numFmtId="0" xfId="0">
      <alignment horizontal="center" vertical="center"/>
    </xf>
    <xf applyAlignment="true" applyBorder="false" applyFill="true" applyFont="true" applyNumberFormat="false" applyProtection="false" borderId="2" fillId="5" fontId="3" numFmtId="0" xfId="0">
      <alignment horizontal="center" vertical="center"/>
    </xf>
    <xf applyAlignment="true" applyBorder="false" applyFill="true" applyFont="true" applyNumberFormat="false" applyProtection="false" borderId="4" fillId="4" fontId="3" numFmtId="0" xfId="0">
      <alignment horizontal="center" vertical="center"/>
    </xf>
    <xf applyAlignment="true" applyBorder="false" applyFill="true" applyFont="true" applyNumberFormat="false" applyProtection="false" borderId="2" fillId="5" fontId="4" numFmtId="0" xfId="0">
      <alignment horizontal="center" vertical="center"/>
    </xf>
    <xf applyAlignment="true" applyBorder="false" applyFill="false" applyFont="true" applyNumberFormat="true" applyProtection="false" borderId="1" fillId="0" fontId="5" numFmtId="164" xfId="0">
      <alignment horizontal="center" vertical="center"/>
    </xf>
    <xf applyAlignment="true" applyBorder="false" applyFill="true" applyFont="true" applyNumberFormat="true" applyProtection="false" borderId="2" fillId="4" fontId="5" numFmtId="165" xfId="0">
      <alignment horizontal="center" vertical="center"/>
    </xf>
    <xf applyAlignment="true" applyBorder="false" applyFill="true" applyFont="true" applyNumberFormat="true" applyProtection="false" borderId="2" fillId="5" fontId="5" numFmtId="165" xfId="0">
      <alignment horizontal="center" vertical="center"/>
    </xf>
    <xf applyAlignment="true" applyBorder="false" applyFill="true" applyFont="true" applyNumberFormat="true" applyProtection="false" borderId="4" fillId="4" fontId="5" numFmtId="165" xfId="0">
      <alignment horizontal="center" vertical="center"/>
    </xf>
    <xf applyAlignment="true" applyBorder="false" applyFill="true" applyFont="true" applyNumberFormat="false" applyProtection="false" borderId="2" fillId="6" fontId="5" numFmtId="0" xfId="0">
      <alignment horizontal="center" vertical="center"/>
    </xf>
    <xf applyAlignment="true" applyBorder="false" applyFill="true" applyFont="true" applyNumberFormat="true" applyProtection="false" borderId="2" fillId="4" fontId="5" numFmtId="165" xfId="0">
      <alignment horizontal="center" vertical="center"/>
    </xf>
    <xf applyAlignment="true" applyBorder="false" applyFill="true" applyFont="true" applyNumberFormat="true" applyProtection="false" borderId="2" fillId="5" fontId="5" numFmtId="165" xfId="0">
      <alignment horizontal="center" vertical="center"/>
    </xf>
    <xf applyAlignment="true" applyBorder="false" applyFill="true" applyFont="true" applyNumberFormat="true" applyProtection="false" borderId="4" fillId="4" fontId="5" numFmtId="165" xfId="0">
      <alignment horizontal="center" vertical="center"/>
    </xf>
    <xf applyAlignment="true" applyBorder="false" applyFill="true" applyFont="true" applyNumberFormat="false" applyProtection="false" borderId="2" fillId="5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1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2" numFmtId="166" xfId="0">
      <alignment horizontal="center" vertical="center"/>
    </xf>
    <xf applyAlignment="true" applyBorder="false" applyFill="false" applyFont="true" applyNumberFormat="true" applyProtection="false" borderId="0" fillId="0" fontId="1" numFmtId="166" xfId="0">
      <alignment horizontal="center" vertical="center"/>
    </xf>
    <xf applyAlignment="true" applyBorder="false" applyFill="false" applyFont="true" applyNumberFormat="true" applyProtection="false" borderId="0" fillId="0" fontId="1" numFmtId="166" xfId="0">
      <alignment horizontal="left" vertical="center"/>
    </xf>
    <xf applyAlignment="true" applyBorder="false" applyFill="false" applyFont="true" applyNumberFormat="true" applyProtection="false" borderId="0" fillId="0" fontId="2" numFmtId="166" xfId="0">
      <alignment vertical="center"/>
    </xf>
    <xf applyAlignment="true" applyBorder="false" applyFill="false" applyFont="true" applyNumberFormat="true" applyProtection="false" borderId="0" fillId="0" fontId="2" numFmtId="167" xfId="0">
      <alignment horizontal="center" vertical="center"/>
    </xf>
    <xf applyAlignment="true" applyBorder="false" applyFill="false" applyFont="true" applyNumberFormat="true" applyProtection="false" borderId="0" fillId="0" fontId="2" numFmtId="167" xfId="0">
      <alignment horizontal="center" vertical="center"/>
    </xf>
    <xf applyAlignment="true" applyBorder="false" applyFill="false" applyFont="true" applyNumberFormat="true" applyProtection="false" borderId="0" fillId="0" fontId="2" numFmtId="167" xfId="0">
      <alignment vertical="center"/>
    </xf>
    <xf applyAlignment="true" applyBorder="false" applyFill="true" applyFont="true" applyNumberFormat="false" applyProtection="false" borderId="5" fillId="7" fontId="3" numFmtId="0" xfId="0">
      <alignment horizontal="center" vertical="center"/>
    </xf>
    <xf applyAlignment="true" applyBorder="false" applyFill="true" applyFont="true" applyNumberFormat="true" applyProtection="false" borderId="5" fillId="8" fontId="3" numFmtId="166" xfId="0">
      <alignment horizontal="center" vertical="center"/>
    </xf>
    <xf applyAlignment="true" applyBorder="false" applyFill="false" applyFont="true" applyNumberFormat="true" applyProtection="false" borderId="0" fillId="0" fontId="6" numFmtId="166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true" applyProtection="false" borderId="0" fillId="0" fontId="8" numFmtId="167" xfId="0">
      <alignment horizontal="center" vertical="center"/>
    </xf>
    <xf applyAlignment="true" applyBorder="false" applyFill="true" applyFont="true" applyNumberFormat="true" applyProtection="false" borderId="5" fillId="9" fontId="3" numFmtId="166" xfId="0">
      <alignment horizontal="center" vertical="center"/>
    </xf>
    <xf applyAlignment="true" applyBorder="false" applyFill="false" applyFont="true" applyNumberFormat="true" applyProtection="false" borderId="0" fillId="0" fontId="2" numFmtId="168" xfId="0">
      <alignment vertical="center"/>
    </xf>
    <xf applyAlignment="true" applyBorder="false" applyFill="false" applyFont="true" applyNumberFormat="true" applyProtection="false" borderId="5" fillId="0" fontId="5" numFmtId="169" xfId="0">
      <alignment horizontal="center" vertical="center"/>
    </xf>
    <xf applyAlignment="true" applyBorder="false" applyFill="true" applyFont="true" applyNumberFormat="true" applyProtection="false" borderId="5" fillId="8" fontId="5" numFmtId="166" xfId="0">
      <alignment horizontal="center" vertical="center"/>
    </xf>
    <xf applyAlignment="true" applyBorder="false" applyFill="true" applyFont="true" applyNumberFormat="true" applyProtection="false" borderId="5" fillId="9" fontId="5" numFmtId="166" xfId="0">
      <alignment horizontal="center" vertical="center"/>
    </xf>
    <xf applyAlignment="true" applyBorder="false" applyFill="true" applyFont="true" applyNumberFormat="true" applyProtection="false" borderId="6" fillId="10" fontId="9" numFmtId="17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true" applyProtection="false" borderId="5" fillId="11" fontId="10" numFmtId="169" xfId="0">
      <alignment horizontal="center" vertical="center"/>
    </xf>
    <xf applyAlignment="true" applyBorder="false" applyFill="true" applyFont="true" applyNumberFormat="false" applyProtection="false" borderId="7" fillId="12" fontId="11" numFmtId="0" xfId="0">
      <alignment horizontal="center" vertical="center" wrapText="true"/>
    </xf>
    <xf applyAlignment="true" applyBorder="false" applyFill="true" applyFont="true" applyNumberFormat="false" applyProtection="false" borderId="7" fillId="12" fontId="11" numFmtId="0" xfId="0">
      <alignment horizontal="right" vertical="center" wrapText="true"/>
    </xf>
    <xf applyAlignment="true" applyBorder="false" applyFill="true" applyFont="true" applyNumberFormat="false" applyProtection="false" borderId="7" fillId="13" fontId="11" numFmtId="0" xfId="0">
      <alignment horizontal="center" vertical="center" wrapText="true"/>
    </xf>
    <xf applyAlignment="true" applyBorder="false" applyFill="true" applyFont="true" applyNumberFormat="true" applyProtection="false" borderId="7" fillId="12" fontId="11" numFmtId="171" xfId="0">
      <alignment horizontal="right" vertical="center" wrapText="true"/>
    </xf>
    <xf applyAlignment="true" applyBorder="false" applyFill="true" applyFont="true" applyNumberFormat="true" applyProtection="false" borderId="7" fillId="12" fontId="11" numFmtId="168" xfId="0">
      <alignment horizontal="center" vertical="center" wrapText="true"/>
    </xf>
    <xf applyAlignment="true" applyBorder="false" applyFill="true" applyFont="true" applyNumberFormat="true" applyProtection="false" borderId="5" fillId="8" fontId="5" numFmtId="166" xfId="0">
      <alignment horizontal="center" vertical="center"/>
    </xf>
    <xf applyAlignment="true" applyBorder="false" applyFill="true" applyFont="true" applyNumberFormat="false" applyProtection="false" borderId="0" fillId="14" fontId="12" numFmtId="0" xfId="0">
      <alignment horizontal="center" vertical="center"/>
    </xf>
    <xf applyAlignment="true" applyBorder="false" applyFill="true" applyFont="true" applyNumberFormat="true" applyProtection="false" borderId="0" fillId="14" fontId="12" numFmtId="166" xfId="0">
      <alignment horizontal="center" vertical="center"/>
    </xf>
    <xf applyAlignment="true" applyBorder="false" applyFill="true" applyFont="true" applyNumberFormat="true" applyProtection="false" borderId="0" fillId="9" fontId="8" numFmtId="167" xfId="0">
      <alignment horizontal="center" vertical="center"/>
    </xf>
    <xf applyAlignment="true" applyBorder="false" applyFill="true" applyFont="true" applyNumberFormat="false" applyProtection="false" borderId="0" fillId="9" fontId="6" numFmtId="0" xfId="0">
      <alignment horizontal="center" vertical="center"/>
    </xf>
    <xf applyAlignment="true" applyBorder="false" applyFill="true" applyFont="true" applyNumberFormat="true" applyProtection="false" borderId="0" fillId="9" fontId="6" numFmtId="166" xfId="0">
      <alignment horizontal="center" vertical="center"/>
    </xf>
    <xf applyAlignment="true" applyBorder="false" applyFill="true" applyFont="true" applyNumberFormat="true" applyProtection="false" borderId="0" fillId="9" fontId="6" numFmtId="166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5" numFmtId="166" xfId="0">
      <alignment horizontal="center" vertical="center"/>
    </xf>
    <xf applyAlignment="true" applyBorder="false" applyFill="false" applyFont="true" applyNumberFormat="true" applyProtection="false" borderId="0" fillId="0" fontId="5" numFmtId="166" xfId="0">
      <alignment vertical="center"/>
    </xf>
    <xf applyAlignment="true" applyBorder="false" applyFill="false" applyFont="true" applyNumberFormat="true" applyProtection="false" borderId="5" fillId="0" fontId="3" numFmtId="166" xfId="0">
      <alignment horizontal="center" vertical="center"/>
    </xf>
    <xf applyAlignment="true" applyBorder="false" applyFill="false" applyFont="true" applyNumberFormat="true" applyProtection="false" borderId="5" fillId="0" fontId="3" numFmtId="166" xfId="0">
      <alignment horizontal="center" vertical="center"/>
    </xf>
    <xf applyAlignment="true" applyBorder="false" applyFill="false" applyFont="true" applyNumberFormat="true" applyProtection="false" borderId="5" fillId="0" fontId="13" numFmtId="16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4" numFmtId="0" xfId="0">
      <alignment vertical="center"/>
    </xf>
    <xf applyAlignment="true" applyBorder="false" applyFill="false" applyFont="true" applyNumberFormat="false" applyProtection="false" borderId="0" fillId="0" fontId="15" numFmtId="0" xfId="0">
      <alignment horizontal="center" vertical="center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false" applyFont="true" applyNumberFormat="false" applyProtection="false" borderId="0" fillId="0" fontId="17" numFmtId="0" xfId="0">
      <alignment horizontal="center" vertical="center"/>
    </xf>
    <xf applyAlignment="true" applyBorder="false" applyFill="false" applyFont="true" applyNumberFormat="false" applyProtection="false" borderId="0" fillId="0" fontId="15" numFmtId="0" xfId="0">
      <alignment vertical="center"/>
    </xf>
    <xf applyAlignment="true" applyBorder="false" applyFill="true" applyFont="true" applyNumberFormat="false" applyProtection="false" borderId="8" fillId="15" fontId="18" numFmtId="0" xfId="0">
      <alignment horizontal="center" vertical="center"/>
    </xf>
    <xf applyAlignment="true" applyBorder="false" applyFill="true" applyFont="true" applyNumberFormat="false" applyProtection="false" borderId="8" fillId="16" fontId="18" numFmtId="0" xfId="0">
      <alignment horizontal="center" vertical="center"/>
    </xf>
    <xf applyAlignment="true" applyBorder="false" applyFill="false" applyFont="true" applyNumberFormat="false" applyProtection="false" borderId="0" fillId="0" fontId="19" numFmtId="0" xfId="0">
      <alignment horizontal="center" vertical="center"/>
    </xf>
    <xf applyAlignment="true" applyBorder="false" applyFill="true" applyFont="true" applyNumberFormat="false" applyProtection="false" borderId="9" fillId="17" fontId="20" numFmtId="0" xfId="0">
      <alignment horizontal="center" vertical="center"/>
    </xf>
    <xf applyAlignment="true" applyBorder="false" applyFill="true" applyFont="true" applyNumberFormat="false" applyProtection="false" borderId="8" fillId="18" fontId="21" numFmtId="0" xfId="0">
      <alignment horizontal="center" vertical="center"/>
    </xf>
    <xf applyAlignment="true" applyBorder="false" applyFill="true" applyFont="true" applyNumberFormat="false" applyProtection="false" borderId="8" fillId="16" fontId="21" numFmtId="0" xfId="0">
      <alignment horizontal="center" vertical="center"/>
    </xf>
    <xf applyAlignment="true" applyBorder="false" applyFill="true" applyFont="true" applyNumberFormat="true" applyProtection="false" borderId="8" fillId="18" fontId="22" numFmtId="172" xfId="0">
      <alignment horizontal="center" vertical="center"/>
    </xf>
    <xf applyAlignment="true" applyBorder="false" applyFill="true" applyFont="true" applyNumberFormat="true" applyProtection="false" borderId="8" fillId="16" fontId="22" numFmtId="172" xfId="0">
      <alignment horizontal="center" vertical="center"/>
    </xf>
    <xf applyAlignment="true" applyBorder="false" applyFill="false" applyFont="true" applyNumberFormat="false" applyProtection="false" borderId="10" fillId="0" fontId="9" numFmtId="0" xfId="0">
      <alignment horizontal="center" vertical="center"/>
    </xf>
    <xf applyAlignment="true" applyBorder="false" applyFill="true" applyFont="true" applyNumberFormat="false" applyProtection="false" borderId="10" fillId="19" fontId="21" numFmtId="0" xfId="0">
      <alignment horizontal="center" vertical="center"/>
    </xf>
    <xf applyAlignment="true" applyBorder="false" applyFill="true" applyFont="true" applyNumberFormat="false" applyProtection="false" borderId="10" fillId="20" fontId="21" numFmtId="0" xfId="0">
      <alignment horizontal="center" vertical="center"/>
    </xf>
    <xf applyAlignment="true" applyBorder="false" applyFill="true" applyFont="true" applyNumberFormat="false" applyProtection="false" borderId="0" fillId="19" fontId="23" numFmtId="0" xfId="0">
      <alignment horizontal="center" vertical="center"/>
    </xf>
    <xf applyAlignment="true" applyBorder="false" applyFill="false" applyFont="true" applyNumberFormat="true" applyProtection="false" borderId="0" fillId="0" fontId="9" numFmtId="173" xfId="0">
      <alignment horizontal="center" vertical="center"/>
    </xf>
    <xf applyAlignment="true" applyBorder="false" applyFill="true" applyFont="true" applyNumberFormat="true" applyProtection="false" borderId="8" fillId="16" fontId="9" numFmtId="174" xfId="0">
      <alignment horizontal="center" vertical="center"/>
    </xf>
    <xf applyAlignment="true" applyBorder="false" applyFill="true" applyFont="true" applyNumberFormat="true" applyProtection="false" borderId="8" fillId="18" fontId="9" numFmtId="174" xfId="0">
      <alignment horizontal="center" vertical="center"/>
    </xf>
    <xf applyAlignment="true" applyBorder="false" applyFill="true" applyFont="true" applyNumberFormat="true" applyProtection="false" borderId="10" fillId="21" fontId="9" numFmtId="172" xfId="0">
      <alignment horizontal="center" vertical="center"/>
    </xf>
    <xf applyAlignment="true" applyBorder="false" applyFill="true" applyFont="true" applyNumberFormat="true" applyProtection="false" borderId="8" fillId="21" fontId="9" numFmtId="174" xfId="0">
      <alignment horizontal="center" vertical="center"/>
    </xf>
    <xf applyAlignment="true" applyBorder="false" applyFill="false" applyFont="true" applyNumberFormat="true" applyProtection="false" borderId="10" fillId="0" fontId="9" numFmtId="174" xfId="0">
      <alignment horizontal="center" vertical="center"/>
    </xf>
    <xf applyAlignment="true" applyBorder="false" applyFill="false" applyFont="true" applyNumberFormat="true" applyProtection="false" borderId="10" fillId="0" fontId="9" numFmtId="174" xfId="0">
      <alignment horizontal="center" vertical="center"/>
    </xf>
    <xf applyAlignment="true" applyBorder="false" applyFill="false" applyFont="true" applyNumberFormat="true" applyProtection="false" borderId="10" fillId="0" fontId="24" numFmtId="174" xfId="0">
      <alignment horizontal="center" vertical="center"/>
    </xf>
    <xf applyAlignment="true" applyBorder="false" applyFill="false" applyFont="true" applyNumberFormat="true" applyProtection="false" borderId="10" fillId="0" fontId="24" numFmtId="174" xfId="0">
      <alignment horizontal="center" vertical="center"/>
    </xf>
    <xf applyAlignment="true" applyBorder="false" applyFill="false" applyFont="true" applyNumberFormat="true" applyProtection="false" borderId="11" fillId="0" fontId="9" numFmtId="174" xfId="0">
      <alignment horizontal="center" vertical="center"/>
    </xf>
    <xf applyAlignment="true" applyBorder="false" applyFill="false" applyFont="true" applyNumberFormat="true" applyProtection="false" borderId="11" fillId="0" fontId="24" numFmtId="174" xfId="0">
      <alignment horizontal="center" vertical="center"/>
    </xf>
    <xf applyAlignment="true" applyBorder="false" applyFill="false" applyFont="true" applyNumberFormat="true" applyProtection="false" borderId="11" fillId="0" fontId="24" numFmtId="174" xfId="0">
      <alignment horizontal="center" vertical="center"/>
    </xf>
    <xf applyAlignment="true" applyBorder="false" applyFill="false" applyFont="true" applyNumberFormat="false" applyProtection="false" borderId="12" fillId="0" fontId="9" numFmtId="0" xfId="0">
      <alignment horizontal="center" vertical="center"/>
    </xf>
    <xf applyAlignment="true" applyBorder="false" applyFill="false" applyFont="true" applyNumberFormat="false" applyProtection="false" borderId="10" fillId="0" fontId="15" numFmtId="0" xfId="0">
      <alignment horizontal="center" vertical="center"/>
    </xf>
    <xf applyAlignment="true" applyBorder="false" applyFill="false" applyFont="true" applyNumberFormat="true" applyProtection="false" borderId="10" fillId="0" fontId="16" numFmtId="175" xfId="0">
      <alignment horizontal="center" vertical="center"/>
    </xf>
    <xf applyAlignment="true" applyBorder="false" applyFill="false" applyFont="true" applyNumberFormat="false" applyProtection="false" borderId="10" fillId="0" fontId="16" numFmtId="0" xfId="0">
      <alignment horizontal="center" vertical="center"/>
    </xf>
    <xf applyAlignment="true" applyBorder="false" applyFill="false" applyFont="true" applyNumberFormat="true" applyProtection="false" borderId="10" fillId="0" fontId="24" numFmtId="174" xfId="0">
      <alignment horizontal="left" vertical="center"/>
    </xf>
    <xf applyAlignment="true" applyBorder="false" applyFill="false" applyFont="true" applyNumberFormat="false" applyProtection="false" borderId="10" fillId="0" fontId="15" numFmtId="0" xfId="0">
      <alignment horizontal="left" vertical="center"/>
    </xf>
    <xf applyAlignment="true" applyBorder="false" applyFill="false" applyFont="true" applyNumberFormat="true" applyProtection="false" borderId="10" fillId="0" fontId="24" numFmtId="174" xfId="0">
      <alignment vertical="center"/>
    </xf>
    <xf applyAlignment="true" applyBorder="false" applyFill="false" applyFont="true" applyNumberFormat="false" applyProtection="false" borderId="10" fillId="0" fontId="15" numFmtId="0" xfId="0">
      <alignment vertical="center"/>
    </xf>
    <xf applyAlignment="true" applyBorder="false" applyFill="false" applyFont="true" applyNumberFormat="false" applyProtection="false" borderId="0" fillId="0" fontId="15" numFmtId="0" xfId="0">
      <alignment horizontal="center" vertical="center"/>
    </xf>
    <xf applyAlignment="true" applyBorder="false" applyFill="false" applyFont="true" applyNumberFormat="false" applyProtection="false" borderId="0" fillId="0" fontId="25" numFmtId="0" xfId="0">
      <alignment vertical="center"/>
    </xf>
    <xf applyAlignment="true" applyBorder="false" applyFill="false" applyFont="true" applyNumberFormat="false" applyProtection="false" borderId="0" fillId="0" fontId="15" numFmtId="0" xfId="0">
      <alignment vertical="center"/>
    </xf>
    <xf applyAlignment="true" applyBorder="false" applyFill="false" applyFont="true" applyNumberFormat="true" applyProtection="false" borderId="0" fillId="0" fontId="15" numFmtId="174" xfId="0">
      <alignment vertical="center"/>
    </xf>
    <xf applyAlignment="true" applyBorder="false" applyFill="true" applyFont="true" applyNumberFormat="false" applyProtection="false" borderId="0" fillId="22" fontId="26" numFmtId="0" xfId="0">
      <alignment horizontal="center" vertical="center" wrapText="true"/>
    </xf>
    <xf applyAlignment="true" applyBorder="false" applyFill="false" applyFont="true" applyNumberFormat="true" applyProtection="false" borderId="0" fillId="0" fontId="15" numFmtId="174" xfId="0">
      <alignment horizontal="center" vertical="center"/>
    </xf>
    <xf applyAlignment="true" applyBorder="false" applyFill="false" applyFont="true" applyNumberFormat="false" applyProtection="false" borderId="0" fillId="0" fontId="27" numFmtId="0" xfId="0">
      <alignment vertical="center"/>
    </xf>
    <xf applyAlignment="true" applyBorder="false" applyFill="true" applyFont="true" applyNumberFormat="true" applyProtection="false" borderId="8" fillId="16" fontId="9" numFmtId="174" xfId="0">
      <alignment horizontal="center" vertical="center"/>
    </xf>
    <xf applyAlignment="true" applyBorder="false" applyFill="false" applyFont="true" applyNumberFormat="true" applyProtection="false" borderId="0" fillId="0" fontId="19" numFmtId="173" xfId="0">
      <alignment horizontal="center" vertical="center"/>
    </xf>
    <xf applyAlignment="true" applyBorder="false" applyFill="false" applyFont="true" applyNumberFormat="false" applyProtection="false" borderId="0" fillId="0" fontId="27" numFmtId="0" xfId="0">
      <alignment vertical="center"/>
    </xf>
    <xf applyAlignment="true" applyBorder="false" applyFill="true" applyFont="true" applyNumberFormat="true" applyProtection="false" borderId="8" fillId="16" fontId="9" numFmtId="174" xfId="0">
      <alignment horizontal="center" vertical="center"/>
    </xf>
    <xf applyAlignment="true" applyBorder="false" applyFill="true" applyFont="true" applyNumberFormat="true" applyProtection="false" borderId="8" fillId="18" fontId="9" numFmtId="174" xfId="0">
      <alignment horizontal="center" vertical="center"/>
    </xf>
    <xf applyAlignment="true" applyBorder="false" applyFill="true" applyFont="true" applyNumberFormat="true" applyProtection="false" borderId="8" fillId="16" fontId="9" numFmtId="174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true" applyProtection="false" borderId="0" fillId="0" fontId="9" numFmtId="174" xfId="0">
      <alignment horizontal="center" vertical="center"/>
    </xf>
    <xf applyAlignment="true" applyBorder="false" applyFill="true" applyFont="true" applyNumberFormat="false" applyProtection="false" borderId="13" fillId="23" fontId="18" numFmtId="0" xfId="0">
      <alignment horizontal="center" vertical="center"/>
    </xf>
    <xf applyAlignment="true" applyBorder="false" applyFill="true" applyFont="true" applyNumberFormat="true" applyProtection="false" borderId="13" fillId="24" fontId="18" numFmtId="176" xfId="0">
      <alignment horizontal="center" vertical="center"/>
    </xf>
    <xf applyAlignment="true" applyBorder="false" applyFill="false" applyFont="true" applyNumberFormat="true" applyProtection="false" borderId="0" fillId="0" fontId="9" numFmtId="176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true" applyFont="true" applyNumberFormat="true" applyProtection="false" borderId="13" fillId="25" fontId="18" numFmtId="176" xfId="0">
      <alignment horizontal="center" vertical="center"/>
    </xf>
    <xf applyAlignment="true" applyBorder="false" applyFill="true" applyFont="true" applyNumberFormat="true" applyProtection="false" borderId="13" fillId="26" fontId="18" numFmtId="176" xfId="0">
      <alignment horizontal="center" vertical="center"/>
    </xf>
    <xf applyAlignment="true" applyBorder="false" applyFill="true" applyFont="true" applyNumberFormat="true" applyProtection="false" borderId="14" fillId="25" fontId="3" numFmtId="176" xfId="0">
      <alignment horizontal="center" vertical="center"/>
    </xf>
    <xf applyAlignment="true" applyBorder="false" applyFill="true" applyFont="true" applyNumberFormat="true" applyProtection="false" borderId="14" fillId="26" fontId="3" numFmtId="176" xfId="0">
      <alignment horizontal="center" vertical="center"/>
    </xf>
    <xf applyAlignment="true" applyBorder="false" applyFill="false" applyFont="true" applyNumberFormat="true" applyProtection="false" borderId="0" fillId="0" fontId="9" numFmtId="176" xfId="0">
      <alignment horizontal="center" vertical="center"/>
    </xf>
    <xf applyAlignment="true" applyBorder="false" applyFill="false" applyFont="true" applyNumberFormat="true" applyProtection="false" borderId="13" fillId="0" fontId="9" numFmtId="177" xfId="0">
      <alignment horizontal="center" vertical="center"/>
    </xf>
    <xf applyAlignment="true" applyBorder="false" applyFill="true" applyFont="true" applyNumberFormat="true" applyProtection="false" borderId="13" fillId="25" fontId="9" numFmtId="176" xfId="0">
      <alignment horizontal="center" vertical="center"/>
    </xf>
    <xf applyAlignment="true" applyBorder="false" applyFill="true" applyFont="true" applyNumberFormat="true" applyProtection="false" borderId="13" fillId="26" fontId="9" numFmtId="176" xfId="0">
      <alignment horizontal="center" vertical="center"/>
    </xf>
    <xf applyAlignment="true" applyBorder="false" applyFill="true" applyFont="true" applyNumberFormat="true" applyProtection="false" borderId="13" fillId="26" fontId="9" numFmtId="176" xfId="0">
      <alignment horizontal="center" vertical="center"/>
    </xf>
    <xf applyAlignment="true" applyBorder="false" applyFill="true" applyFont="true" applyNumberFormat="true" applyProtection="false" borderId="13" fillId="27" fontId="9" numFmtId="176" xfId="0">
      <alignment horizontal="center" vertical="center"/>
    </xf>
    <xf applyAlignment="true" applyBorder="false" applyFill="true" applyFont="true" applyNumberFormat="true" applyProtection="false" borderId="13" fillId="25" fontId="9" numFmtId="176" xfId="0">
      <alignment horizontal="center" vertical="center"/>
    </xf>
    <xf applyAlignment="true" applyBorder="false" applyFill="true" applyFont="true" applyNumberFormat="true" applyProtection="false" borderId="13" fillId="26" fontId="9" numFmtId="176" xfId="0">
      <alignment horizontal="center" vertical="center"/>
    </xf>
    <xf applyAlignment="true" applyBorder="false" applyFill="true" applyFont="true" applyNumberFormat="true" applyProtection="false" borderId="13" fillId="27" fontId="9" numFmtId="176" xfId="0">
      <alignment horizontal="center" vertical="center"/>
    </xf>
    <xf applyAlignment="true" applyBorder="false" applyFill="true" applyFont="true" applyNumberFormat="true" applyProtection="false" borderId="13" fillId="25" fontId="9" numFmtId="176" xfId="0">
      <alignment horizontal="center" vertical="center"/>
    </xf>
    <xf applyAlignment="true" applyBorder="false" applyFill="true" applyFont="true" applyNumberFormat="true" applyProtection="false" borderId="13" fillId="26" fontId="9" numFmtId="176" xfId="0">
      <alignment horizontal="center" vertical="center"/>
    </xf>
    <xf applyAlignment="true" applyBorder="false" applyFill="true" applyFont="true" applyNumberFormat="true" applyProtection="false" borderId="13" fillId="27" fontId="9" numFmtId="176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true" applyFont="true" applyNumberFormat="true" applyProtection="false" borderId="13" fillId="25" fontId="9" numFmtId="176" xfId="0">
      <alignment horizontal="center" vertical="center"/>
    </xf>
    <xf applyAlignment="true" applyBorder="false" applyFill="false" applyFont="true" applyNumberFormat="false" applyProtection="false" borderId="13" fillId="0" fontId="9" numFmtId="0" xfId="0">
      <alignment horizontal="center" vertical="center"/>
    </xf>
    <xf applyAlignment="true" applyBorder="false" applyFill="true" applyFont="true" applyNumberFormat="false" applyProtection="false" borderId="15" fillId="28" fontId="18" numFmtId="0" xfId="0">
      <alignment horizontal="center" vertical="center"/>
    </xf>
    <xf applyAlignment="true" applyBorder="false" applyFill="true" applyFont="true" applyNumberFormat="true" applyProtection="false" borderId="15" fillId="29" fontId="18" numFmtId="179" xfId="0">
      <alignment horizontal="center" vertical="center"/>
    </xf>
    <xf applyAlignment="true" applyBorder="false" applyFill="false" applyFont="true" applyNumberFormat="true" applyProtection="false" borderId="0" fillId="0" fontId="9" numFmtId="179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true" applyFont="true" applyNumberFormat="true" applyProtection="false" borderId="15" fillId="30" fontId="18" numFmtId="179" xfId="0">
      <alignment horizontal="center" vertical="center"/>
    </xf>
    <xf applyAlignment="true" applyBorder="false" applyFill="true" applyFont="true" applyNumberFormat="true" applyProtection="false" borderId="15" fillId="31" fontId="18" numFmtId="179" xfId="0">
      <alignment horizontal="center" vertical="center"/>
    </xf>
    <xf applyAlignment="true" applyBorder="false" applyFill="false" applyFont="true" applyNumberFormat="true" applyProtection="false" borderId="0" fillId="0" fontId="9" numFmtId="179" xfId="0">
      <alignment horizontal="center" vertical="center"/>
    </xf>
    <xf applyAlignment="true" applyBorder="false" applyFill="false" applyFont="true" applyNumberFormat="true" applyProtection="false" borderId="15" fillId="0" fontId="9" numFmtId="180" xfId="0">
      <alignment horizontal="center" vertical="center"/>
    </xf>
    <xf applyAlignment="true" applyBorder="false" applyFill="true" applyFont="true" applyNumberFormat="true" applyProtection="false" borderId="15" fillId="30" fontId="9" numFmtId="179" xfId="0">
      <alignment horizontal="center" vertical="center"/>
    </xf>
    <xf applyAlignment="true" applyBorder="false" applyFill="true" applyFont="true" applyNumberFormat="true" applyProtection="false" borderId="15" fillId="31" fontId="9" numFmtId="179" xfId="0">
      <alignment horizontal="center" vertical="center"/>
    </xf>
    <xf applyAlignment="true" applyBorder="false" applyFill="true" applyFont="true" applyNumberFormat="true" applyProtection="false" borderId="15" fillId="31" fontId="9" numFmtId="179" xfId="0">
      <alignment horizontal="center" vertical="center"/>
    </xf>
    <xf applyAlignment="true" applyBorder="false" applyFill="true" applyFont="true" applyNumberFormat="true" applyProtection="false" borderId="15" fillId="32" fontId="9" numFmtId="179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true" applyFont="true" applyNumberFormat="true" applyProtection="false" borderId="15" fillId="30" fontId="9" numFmtId="179" xfId="0">
      <alignment horizontal="center" vertical="center"/>
    </xf>
    <xf applyAlignment="true" applyBorder="false" applyFill="true" applyFont="true" applyNumberFormat="true" applyProtection="false" borderId="15" fillId="31" fontId="9" numFmtId="179" xfId="0">
      <alignment horizontal="center" vertical="center"/>
    </xf>
    <xf applyAlignment="true" applyBorder="false" applyFill="true" applyFont="true" applyNumberFormat="true" applyProtection="false" borderId="15" fillId="30" fontId="9" numFmtId="179" xfId="0">
      <alignment horizontal="center" vertical="center"/>
    </xf>
    <xf applyAlignment="true" applyBorder="false" applyFill="true" applyFont="true" applyNumberFormat="true" applyProtection="false" borderId="15" fillId="31" fontId="9" numFmtId="179" xfId="0">
      <alignment horizontal="center" vertical="center"/>
    </xf>
    <xf applyAlignment="true" applyBorder="false" applyFill="true" applyFont="true" applyNumberFormat="true" applyProtection="false" borderId="15" fillId="32" fontId="9" numFmtId="179" xfId="0">
      <alignment horizontal="center" vertical="center"/>
    </xf>
    <xf applyAlignment="true" applyBorder="false" applyFill="true" applyFont="true" applyNumberFormat="true" applyProtection="false" borderId="15" fillId="30" fontId="9" numFmtId="179" xfId="0">
      <alignment horizontal="center" vertical="center"/>
    </xf>
    <xf applyAlignment="true" applyBorder="false" applyFill="false" applyFont="true" applyNumberFormat="false" applyProtection="false" borderId="15" fillId="0" fontId="9" numFmtId="0" xfId="0">
      <alignment horizontal="center" vertical="center"/>
    </xf>
    <xf applyAlignment="true" applyBorder="false" applyFill="true" applyFont="true" applyNumberFormat="false" applyProtection="false" borderId="16" fillId="33" fontId="18" numFmtId="0" xfId="0">
      <alignment horizontal="center" vertical="center"/>
    </xf>
    <xf applyAlignment="true" applyBorder="false" applyFill="true" applyFont="true" applyNumberFormat="true" applyProtection="false" borderId="16" fillId="34" fontId="18" numFmtId="182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true" applyFont="true" applyNumberFormat="true" applyProtection="false" borderId="16" fillId="35" fontId="18" numFmtId="182" xfId="0">
      <alignment horizontal="center" vertical="center"/>
    </xf>
    <xf applyAlignment="true" applyBorder="false" applyFill="true" applyFont="true" applyNumberFormat="true" applyProtection="false" borderId="16" fillId="36" fontId="18" numFmtId="182" xfId="0">
      <alignment horizontal="center" vertical="center"/>
    </xf>
    <xf applyAlignment="true" applyBorder="false" applyFill="true" applyFont="true" applyNumberFormat="false" applyProtection="false" borderId="16" fillId="36" fontId="18" numFmtId="0" xfId="0">
      <alignment horizontal="center" vertical="center"/>
    </xf>
    <xf applyAlignment="true" applyBorder="false" applyFill="true" applyFont="true" applyNumberFormat="false" applyProtection="false" borderId="16" fillId="35" fontId="18" numFmtId="0" xfId="0">
      <alignment horizontal="center" vertical="center"/>
    </xf>
    <xf applyAlignment="true" applyBorder="false" applyFill="false" applyFont="true" applyNumberFormat="true" applyProtection="false" borderId="0" fillId="0" fontId="9" numFmtId="183" xfId="0">
      <alignment horizontal="center" vertical="center"/>
    </xf>
    <xf applyAlignment="true" applyBorder="false" applyFill="false" applyFont="true" applyNumberFormat="true" applyProtection="false" borderId="16" fillId="0" fontId="9" numFmtId="184" xfId="0">
      <alignment horizontal="center" vertical="center"/>
    </xf>
    <xf applyAlignment="true" applyBorder="false" applyFill="true" applyFont="true" applyNumberFormat="true" applyProtection="false" borderId="16" fillId="35" fontId="9" numFmtId="183" xfId="0">
      <alignment horizontal="center" vertical="center"/>
    </xf>
    <xf applyAlignment="true" applyBorder="false" applyFill="true" applyFont="true" applyNumberFormat="true" applyProtection="false" borderId="16" fillId="36" fontId="9" numFmtId="183" xfId="0">
      <alignment horizontal="center" vertical="center"/>
    </xf>
    <xf applyAlignment="true" applyBorder="false" applyFill="true" applyFont="true" applyNumberFormat="true" applyProtection="false" borderId="16" fillId="36" fontId="9" numFmtId="183" xfId="0">
      <alignment horizontal="center" vertical="center"/>
    </xf>
    <xf applyAlignment="true" applyBorder="false" applyFill="true" applyFont="true" applyNumberFormat="true" applyProtection="false" borderId="16" fillId="37" fontId="9" numFmtId="183" xfId="0">
      <alignment horizontal="center" vertical="center"/>
    </xf>
    <xf applyAlignment="true" applyBorder="false" applyFill="false" applyFont="true" applyNumberFormat="true" applyProtection="false" borderId="0" fillId="0" fontId="9" numFmtId="183" xfId="0">
      <alignment horizontal="center" vertical="center"/>
    </xf>
    <xf applyAlignment="true" applyBorder="false" applyFill="true" applyFont="true" applyNumberFormat="false" applyProtection="false" borderId="16" fillId="35" fontId="9" numFmtId="0" xfId="0">
      <alignment horizontal="center" vertical="center"/>
    </xf>
    <xf applyAlignment="true" applyBorder="false" applyFill="true" applyFont="true" applyNumberFormat="false" applyProtection="false" borderId="16" fillId="36" fontId="9" numFmtId="0" xfId="0">
      <alignment horizontal="center" vertical="center"/>
    </xf>
    <xf applyAlignment="true" applyBorder="false" applyFill="true" applyFont="true" applyNumberFormat="true" applyProtection="false" borderId="16" fillId="36" fontId="9" numFmtId="186" xfId="0">
      <alignment horizontal="center" vertical="center"/>
    </xf>
    <xf applyAlignment="true" applyBorder="false" applyFill="true" applyFont="true" applyNumberFormat="true" applyProtection="false" borderId="16" fillId="35" fontId="9" numFmtId="186" xfId="0">
      <alignment horizontal="center" vertical="center"/>
    </xf>
    <xf applyAlignment="true" applyBorder="false" applyFill="true" applyFont="true" applyNumberFormat="true" applyProtection="false" borderId="16" fillId="37" fontId="9" numFmtId="186" xfId="0">
      <alignment horizontal="center" vertical="center"/>
    </xf>
    <xf applyAlignment="true" applyBorder="false" applyFill="true" applyFont="true" applyNumberFormat="false" applyProtection="false" borderId="16" fillId="35" fontId="9" numFmtId="0" xfId="0">
      <alignment horizontal="center" vertical="center"/>
    </xf>
    <xf applyAlignment="true" applyBorder="false" applyFill="true" applyFont="true" applyNumberFormat="false" applyProtection="false" borderId="16" fillId="37" fontId="9" numFmtId="0" xfId="0">
      <alignment horizontal="center" vertical="center"/>
    </xf>
    <xf applyAlignment="true" applyBorder="false" applyFill="true" applyFont="true" applyNumberFormat="false" applyProtection="false" borderId="16" fillId="36" fontId="9" numFmtId="0" xfId="0">
      <alignment horizontal="center" vertical="center"/>
    </xf>
    <xf applyAlignment="true" applyBorder="false" applyFill="true" applyFont="true" applyNumberFormat="true" applyProtection="false" borderId="16" fillId="36" fontId="9" numFmtId="186" xfId="0">
      <alignment horizontal="center" vertical="center"/>
    </xf>
    <xf applyAlignment="true" applyBorder="false" applyFill="true" applyFont="true" applyNumberFormat="true" applyProtection="false" borderId="16" fillId="35" fontId="9" numFmtId="186" xfId="0">
      <alignment horizontal="center" vertical="center"/>
    </xf>
    <xf applyAlignment="true" applyBorder="false" applyFill="true" applyFont="true" applyNumberFormat="false" applyProtection="false" borderId="16" fillId="35" fontId="9" numFmtId="0" xfId="0">
      <alignment horizontal="center" vertical="center"/>
    </xf>
    <xf applyAlignment="true" applyBorder="false" applyFill="false" applyFont="true" applyNumberFormat="false" applyProtection="false" borderId="16" fillId="0" fontId="9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2" numFmtId="187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87" xfId="0">
      <alignment horizontal="center" vertical="center"/>
    </xf>
    <xf applyAlignment="true" applyBorder="false" applyFill="false" applyFont="true" applyNumberFormat="true" applyProtection="false" borderId="0" fillId="0" fontId="2" numFmtId="187" xfId="0">
      <alignment vertical="center"/>
    </xf>
    <xf applyAlignment="true" applyBorder="false" applyFill="true" applyFont="true" applyNumberFormat="false" applyProtection="false" borderId="17" fillId="38" fontId="3" numFmtId="0" xfId="0">
      <alignment horizontal="center" vertical="center"/>
    </xf>
    <xf applyAlignment="true" applyBorder="false" applyFill="true" applyFont="true" applyNumberFormat="true" applyProtection="false" borderId="17" fillId="39" fontId="3" numFmtId="187" xfId="0">
      <alignment horizontal="center" vertical="center"/>
    </xf>
    <xf applyAlignment="true" applyBorder="false" applyFill="false" applyFont="true" applyNumberFormat="true" applyProtection="false" borderId="0" fillId="0" fontId="8" numFmtId="187" xfId="0">
      <alignment horizontal="center" vertical="center"/>
    </xf>
    <xf applyAlignment="true" applyBorder="false" applyFill="true" applyFont="true" applyNumberFormat="false" applyProtection="false" borderId="17" fillId="40" fontId="3" numFmtId="0" xfId="0">
      <alignment horizontal="center" vertical="center"/>
    </xf>
    <xf applyAlignment="true" applyBorder="false" applyFill="false" applyFont="true" applyNumberFormat="true" applyProtection="false" borderId="0" fillId="0" fontId="2" numFmtId="188" xfId="0">
      <alignment vertical="center"/>
    </xf>
    <xf applyAlignment="true" applyBorder="false" applyFill="false" applyFont="true" applyNumberFormat="true" applyProtection="false" borderId="17" fillId="0" fontId="5" numFmtId="189" xfId="0">
      <alignment horizontal="center" vertical="center"/>
    </xf>
    <xf applyAlignment="true" applyBorder="false" applyFill="true" applyFont="true" applyNumberFormat="true" applyProtection="false" borderId="17" fillId="40" fontId="5" numFmtId="187" xfId="0">
      <alignment horizontal="center" vertical="center"/>
    </xf>
    <xf applyAlignment="true" applyBorder="false" applyFill="true" applyFont="true" applyNumberFormat="true" applyProtection="false" borderId="17" fillId="40" fontId="5" numFmtId="187" xfId="0">
      <alignment horizontal="center" vertical="center"/>
    </xf>
    <xf applyAlignment="true" applyBorder="false" applyFill="true" applyFont="true" applyNumberFormat="false" applyProtection="false" borderId="18" fillId="41" fontId="11" numFmtId="0" xfId="0">
      <alignment horizontal="center" vertical="center" wrapText="true"/>
    </xf>
    <xf applyAlignment="true" applyBorder="false" applyFill="true" applyFont="true" applyNumberFormat="false" applyProtection="false" borderId="18" fillId="41" fontId="11" numFmtId="0" xfId="0">
      <alignment horizontal="right" vertical="center" wrapText="true"/>
    </xf>
    <xf applyAlignment="true" applyBorder="false" applyFill="true" applyFont="true" applyNumberFormat="false" applyProtection="false" borderId="18" fillId="42" fontId="11" numFmtId="0" xfId="0">
      <alignment horizontal="center" vertical="center" wrapText="true"/>
    </xf>
    <xf applyAlignment="true" applyBorder="false" applyFill="true" applyFont="true" applyNumberFormat="true" applyProtection="false" borderId="18" fillId="41" fontId="11" numFmtId="190" xfId="0">
      <alignment horizontal="right" vertical="center" wrapText="true"/>
    </xf>
    <xf applyAlignment="true" applyBorder="false" applyFill="true" applyFont="true" applyNumberFormat="true" applyProtection="false" borderId="18" fillId="41" fontId="11" numFmtId="188" xfId="0">
      <alignment horizontal="center" vertical="center" wrapText="true"/>
    </xf>
    <xf applyAlignment="true" applyBorder="false" applyFill="false" applyFont="true" applyNumberFormat="false" applyProtection="false" borderId="0" fillId="0" fontId="28" numFmtId="0" xfId="0">
      <alignment horizontal="center" vertical="center"/>
    </xf>
    <xf applyAlignment="true" applyBorder="false" applyFill="false" applyFont="true" applyNumberFormat="false" applyProtection="false" borderId="0" fillId="0" fontId="28" numFmtId="0" xfId="0">
      <alignment horizontal="center" vertical="center"/>
    </xf>
    <xf applyAlignment="true" applyBorder="false" applyFill="true" applyFont="true" applyNumberFormat="true" applyProtection="false" borderId="0" fillId="43" fontId="8" numFmtId="187" xfId="0">
      <alignment horizontal="center" vertical="center"/>
    </xf>
    <xf applyAlignment="true" applyBorder="false" applyFill="true" applyFont="true" applyNumberFormat="true" applyProtection="false" borderId="0" fillId="44" fontId="29" numFmtId="187" xfId="0">
      <alignment horizontal="center" vertical="center"/>
    </xf>
    <xf applyAlignment="true" applyBorder="false" applyFill="false" applyFont="true" applyNumberFormat="false" applyProtection="false" borderId="19" fillId="0" fontId="30" numFmtId="0" xfId="0">
      <alignment horizontal="center" vertical="center"/>
    </xf>
    <xf applyAlignment="true" applyBorder="false" applyFill="false" applyFont="true" applyNumberFormat="false" applyProtection="false" borderId="0" fillId="0" fontId="31" numFmtId="0" xfId="0">
      <alignment horizontal="center" vertical="center"/>
    </xf>
    <xf applyAlignment="true" applyBorder="false" applyFill="true" applyFont="true" applyNumberFormat="false" applyProtection="false" borderId="19" fillId="45" fontId="26" numFmtId="0" xfId="0">
      <alignment horizontal="center" vertical="center"/>
    </xf>
    <xf applyAlignment="true" applyBorder="false" applyFill="true" applyFont="true" applyNumberFormat="false" applyProtection="false" borderId="19" fillId="46" fontId="26" numFmtId="0" xfId="0">
      <alignment horizontal="center" vertical="center"/>
    </xf>
    <xf applyAlignment="true" applyBorder="false" applyFill="true" applyFont="true" applyNumberFormat="false" applyProtection="false" borderId="19" fillId="45" fontId="26" numFmtId="0" xfId="0">
      <alignment horizontal="center" vertical="center"/>
    </xf>
    <xf applyAlignment="true" applyBorder="false" applyFill="false" applyFont="true" applyNumberFormat="false" applyProtection="false" borderId="20" fillId="0" fontId="2" numFmtId="0" xfId="0">
      <alignment horizontal="center" vertical="center"/>
    </xf>
    <xf applyAlignment="true" applyBorder="false" applyFill="false" applyFont="true" applyNumberFormat="false" applyProtection="false" borderId="19" fillId="0" fontId="31" numFmtId="0" xfId="0">
      <alignment horizontal="center" vertical="center"/>
    </xf>
    <xf applyAlignment="true" applyBorder="false" applyFill="false" applyFont="true" applyNumberFormat="false" applyProtection="false" borderId="19" fillId="0" fontId="30" numFmtId="0" xfId="0">
      <alignment horizontal="center" vertical="center"/>
    </xf>
    <xf applyAlignment="true" applyBorder="false" applyFill="true" applyFont="true" applyNumberFormat="false" applyProtection="false" borderId="19" fillId="45" fontId="31" numFmtId="0" xfId="0">
      <alignment horizontal="center" vertical="center"/>
    </xf>
    <xf applyAlignment="true" applyBorder="false" applyFill="true" applyFont="true" applyNumberFormat="false" applyProtection="false" borderId="19" fillId="46" fontId="31" numFmtId="0" xfId="0">
      <alignment horizontal="center" vertical="center"/>
    </xf>
    <xf applyAlignment="true" applyBorder="false" applyFill="false" applyFont="true" applyNumberFormat="false" applyProtection="false" borderId="19" fillId="0" fontId="11" numFmtId="0" xfId="0">
      <alignment horizontal="center" vertical="bottom"/>
    </xf>
    <xf applyAlignment="true" applyBorder="false" applyFill="false" applyFont="true" applyNumberFormat="false" applyProtection="false" borderId="19" fillId="0" fontId="32" numFmtId="0" xfId="0">
      <alignment horizontal="center" vertical="bottom"/>
    </xf>
    <xf applyAlignment="true" applyBorder="false" applyFill="true" applyFont="true" applyNumberFormat="false" applyProtection="false" borderId="19" fillId="45" fontId="31" numFmtId="0" xfId="0">
      <alignment horizontal="center" vertical="center"/>
    </xf>
    <xf applyAlignment="true" applyBorder="false" applyFill="false" applyFont="true" applyNumberFormat="false" applyProtection="false" borderId="19" fillId="0" fontId="11" numFmtId="0" xfId="0">
      <alignment horizontal="center" vertical="bottom"/>
    </xf>
    <xf applyAlignment="true" applyBorder="false" applyFill="false" applyFont="true" applyNumberFormat="false" applyProtection="false" borderId="19" fillId="0" fontId="32" numFmtId="0" xfId="0">
      <alignment horizontal="center" vertical="bottom"/>
    </xf>
    <xf applyAlignment="true" applyBorder="false" applyFill="false" applyFont="true" applyNumberFormat="true" applyProtection="false" borderId="19" fillId="0" fontId="30" numFmtId="191" xfId="0">
      <alignment horizontal="center" vertical="center"/>
    </xf>
    <xf applyAlignment="true" applyBorder="false" applyFill="false" applyFont="true" applyNumberFormat="false" applyProtection="false" borderId="19" fillId="0" fontId="9" numFmtId="0" xfId="0">
      <alignment horizontal="center" vertical="center"/>
    </xf>
    <xf applyAlignment="true" applyBorder="false" applyFill="false" applyFont="true" applyNumberFormat="false" applyProtection="false" borderId="19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19" fillId="0" fontId="31" numFmtId="0" xfId="0">
      <alignment horizontal="center" vertical="center"/>
    </xf>
    <xf applyAlignment="true" applyBorder="false" applyFill="false" applyFont="true" applyNumberFormat="false" applyProtection="false" borderId="0" fillId="0" fontId="31" numFmtId="0" xfId="0">
      <alignment horizontal="center" vertical="center"/>
    </xf>
    <xf applyAlignment="true" applyBorder="false" applyFill="false" applyFont="true" applyNumberFormat="true" applyProtection="false" borderId="0" fillId="0" fontId="31" numFmtId="191" xfId="0">
      <alignment horizontal="center" vertical="center"/>
    </xf>
    <xf applyAlignment="true" applyBorder="false" applyFill="false" applyFont="true" applyNumberFormat="false" applyProtection="false" borderId="21" fillId="0" fontId="18" numFmtId="0" xfId="0">
      <alignment horizontal="center" vertical="center"/>
    </xf>
    <xf applyAlignment="true" applyBorder="false" applyFill="true" applyFont="true" applyNumberFormat="false" applyProtection="false" borderId="22" fillId="47" fontId="18" numFmtId="0" xfId="0">
      <alignment horizontal="center" vertical="center"/>
    </xf>
    <xf applyAlignment="true" applyBorder="false" applyFill="true" applyFont="true" applyNumberFormat="false" applyProtection="false" borderId="22" fillId="48" fontId="18" numFmtId="0" xfId="0">
      <alignment horizontal="center" vertical="center"/>
    </xf>
    <xf applyAlignment="true" applyBorder="false" applyFill="false" applyFont="true" applyNumberFormat="false" applyProtection="false" borderId="0" fillId="0" fontId="18" numFmtId="0" xfId="0">
      <alignment vertical="center"/>
    </xf>
    <xf applyAlignment="true" applyBorder="false" applyFill="false" applyFont="true" applyNumberFormat="true" applyProtection="false" borderId="21" fillId="0" fontId="9" numFmtId="192" xfId="0">
      <alignment horizontal="center" vertical="center"/>
    </xf>
    <xf applyAlignment="true" applyBorder="false" applyFill="true" applyFont="true" applyNumberFormat="true" applyProtection="false" borderId="22" fillId="47" fontId="9" numFmtId="192" xfId="0">
      <alignment horizontal="center" vertical="center"/>
    </xf>
    <xf applyAlignment="true" applyBorder="false" applyFill="true" applyFont="true" applyNumberFormat="true" applyProtection="false" borderId="22" fillId="48" fontId="9" numFmtId="192" xfId="0">
      <alignment horizontal="center" vertical="center"/>
    </xf>
    <xf applyAlignment="true" applyBorder="false" applyFill="false" applyFont="true" applyNumberFormat="true" applyProtection="false" borderId="0" fillId="0" fontId="9" numFmtId="192" xfId="0">
      <alignment vertical="center"/>
    </xf>
    <xf applyAlignment="true" applyBorder="false" applyFill="false" applyFont="true" applyNumberFormat="false" applyProtection="false" borderId="21" fillId="0" fontId="20" numFmtId="0" xfId="0">
      <alignment horizontal="center" vertical="center"/>
    </xf>
    <xf applyAlignment="true" applyBorder="false" applyFill="true" applyFont="true" applyNumberFormat="true" applyProtection="false" borderId="22" fillId="47" fontId="20" numFmtId="193" xfId="0">
      <alignment horizontal="center" vertical="center"/>
    </xf>
    <xf applyAlignment="true" applyBorder="false" applyFill="true" applyFont="true" applyNumberFormat="true" applyProtection="false" borderId="22" fillId="48" fontId="20" numFmtId="193" xfId="0">
      <alignment horizontal="center" vertical="center"/>
    </xf>
    <xf applyAlignment="true" applyBorder="false" applyFill="true" applyFont="true" applyNumberFormat="true" applyProtection="false" borderId="22" fillId="47" fontId="20" numFmtId="193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true" applyProtection="false" borderId="0" fillId="0" fontId="9" numFmtId="193" xfId="0">
      <alignment vertical="center"/>
    </xf>
    <xf applyAlignment="true" applyBorder="false" applyFill="false" applyFont="true" applyNumberFormat="true" applyProtection="false" borderId="0" fillId="0" fontId="9" numFmtId="193" xfId="0">
      <alignment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true" applyProtection="false" borderId="22" fillId="0" fontId="9" numFmtId="192" xfId="0">
      <alignment horizontal="center" vertical="center"/>
    </xf>
    <xf applyAlignment="true" applyBorder="false" applyFill="false" applyFont="true" applyNumberFormat="false" applyProtection="false" borderId="22" fillId="0" fontId="20" numFmtId="0" xfId="0">
      <alignment horizontal="center" vertical="center"/>
    </xf>
    <xf applyAlignment="true" applyBorder="false" applyFill="true" applyFont="true" applyNumberFormat="true" applyProtection="false" borderId="22" fillId="48" fontId="9" numFmtId="192" xfId="0">
      <alignment horizontal="center" vertical="center"/>
    </xf>
    <xf applyAlignment="true" applyBorder="false" applyFill="false" applyFont="true" applyNumberFormat="false" applyProtection="false" borderId="22" fillId="0" fontId="9" numFmtId="0" xfId="0">
      <alignment horizontal="center" vertical="center"/>
    </xf>
    <xf applyAlignment="true" applyBorder="false" applyFill="true" applyFont="true" applyNumberFormat="false" applyProtection="false" borderId="22" fillId="47" fontId="9" numFmtId="0" xfId="0">
      <alignment horizontal="center" vertical="center"/>
    </xf>
    <xf applyAlignment="true" applyBorder="false" applyFill="true" applyFont="true" applyNumberFormat="false" applyProtection="false" borderId="22" fillId="49" fontId="9" numFmtId="0" xfId="0">
      <alignment horizontal="center" vertical="center"/>
    </xf>
    <xf applyAlignment="true" applyBorder="false" applyFill="true" applyFont="true" applyNumberFormat="true" applyProtection="false" borderId="22" fillId="49" fontId="9" numFmtId="192" xfId="0">
      <alignment horizontal="center" vertical="center"/>
    </xf>
    <xf applyAlignment="true" applyBorder="false" applyFill="true" applyFont="true" applyNumberFormat="true" applyProtection="false" borderId="22" fillId="47" fontId="9" numFmtId="192" xfId="0">
      <alignment horizontal="center" vertical="center"/>
    </xf>
    <xf applyAlignment="true" applyBorder="false" applyFill="true" applyFont="true" applyNumberFormat="true" applyProtection="false" borderId="22" fillId="49" fontId="20" numFmtId="193" xfId="0">
      <alignment horizontal="center" vertical="center"/>
    </xf>
    <xf applyAlignment="true" applyBorder="false" applyFill="true" applyFont="true" applyNumberFormat="true" applyProtection="false" borderId="22" fillId="49" fontId="9" numFmtId="192" xfId="0">
      <alignment horizontal="center" vertical="center"/>
    </xf>
    <xf applyAlignment="true" applyBorder="false" applyFill="false" applyFont="true" applyNumberFormat="false" applyProtection="false" borderId="23" fillId="0" fontId="18" numFmtId="0" xfId="0">
      <alignment horizontal="center" vertical="center"/>
    </xf>
    <xf applyAlignment="true" applyBorder="false" applyFill="false" applyFont="true" applyNumberFormat="true" applyProtection="false" borderId="23" fillId="0" fontId="18" numFmtId="194" xfId="0">
      <alignment horizontal="center" vertical="center"/>
    </xf>
    <xf applyAlignment="true" applyBorder="false" applyFill="true" applyFont="true" applyNumberFormat="true" applyProtection="false" borderId="23" fillId="50" fontId="18" numFmtId="194" xfId="0">
      <alignment horizontal="center" vertical="center"/>
    </xf>
    <xf applyAlignment="true" applyBorder="false" applyFill="true" applyFont="true" applyNumberFormat="true" applyProtection="false" borderId="23" fillId="50" fontId="20" numFmtId="195" xfId="0">
      <alignment horizontal="center" vertical="center"/>
    </xf>
    <xf applyAlignment="true" applyBorder="false" applyFill="true" applyFont="true" applyNumberFormat="true" applyProtection="false" borderId="23" fillId="51" fontId="18" numFmtId="194" xfId="0">
      <alignment horizontal="center" vertical="center"/>
    </xf>
    <xf applyAlignment="true" applyBorder="false" applyFill="true" applyFont="true" applyNumberFormat="true" applyProtection="false" borderId="23" fillId="51" fontId="20" numFmtId="195" xfId="0">
      <alignment horizontal="center" vertical="center"/>
    </xf>
    <xf applyAlignment="true" applyBorder="false" applyFill="true" applyFont="true" applyNumberFormat="true" applyProtection="false" borderId="23" fillId="52" fontId="18" numFmtId="194" xfId="0">
      <alignment horizontal="center" vertical="center"/>
    </xf>
    <xf applyAlignment="true" applyBorder="false" applyFill="true" applyFont="true" applyNumberFormat="true" applyProtection="false" borderId="23" fillId="52" fontId="20" numFmtId="195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false" applyProtection="false" borderId="23" fillId="0" fontId="9" numFmtId="0" xfId="0">
      <alignment horizontal="center" vertical="center"/>
    </xf>
    <xf applyAlignment="true" applyBorder="false" applyFill="false" applyFont="true" applyNumberFormat="true" applyProtection="false" borderId="23" fillId="0" fontId="9" numFmtId="194" xfId="0">
      <alignment horizontal="center" vertical="center"/>
    </xf>
    <xf applyAlignment="true" applyBorder="false" applyFill="true" applyFont="true" applyNumberFormat="true" applyProtection="false" borderId="23" fillId="50" fontId="9" numFmtId="194" xfId="0">
      <alignment horizontal="center" vertical="center"/>
    </xf>
    <xf applyAlignment="true" applyBorder="false" applyFill="true" applyFont="true" applyNumberFormat="true" applyProtection="false" borderId="23" fillId="50" fontId="20" numFmtId="195" xfId="0">
      <alignment horizontal="center" vertical="center"/>
    </xf>
    <xf applyAlignment="true" applyBorder="false" applyFill="true" applyFont="true" applyNumberFormat="true" applyProtection="false" borderId="23" fillId="51" fontId="9" numFmtId="194" xfId="0">
      <alignment horizontal="center" vertical="center"/>
    </xf>
    <xf applyAlignment="true" applyBorder="false" applyFill="true" applyFont="true" applyNumberFormat="true" applyProtection="false" borderId="23" fillId="51" fontId="20" numFmtId="195" xfId="0">
      <alignment horizontal="center" vertical="center"/>
    </xf>
    <xf applyAlignment="true" applyBorder="false" applyFill="true" applyFont="true" applyNumberFormat="true" applyProtection="false" borderId="23" fillId="52" fontId="9" numFmtId="194" xfId="0">
      <alignment horizontal="center" vertical="center"/>
    </xf>
    <xf applyAlignment="true" applyBorder="false" applyFill="true" applyFont="true" applyNumberFormat="true" applyProtection="false" borderId="23" fillId="52" fontId="20" numFmtId="195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true" applyFont="true" applyNumberFormat="false" applyProtection="false" borderId="24" fillId="53" fontId="3" numFmtId="0" xfId="0">
      <alignment horizontal="center" vertical="center"/>
    </xf>
    <xf applyAlignment="true" applyBorder="false" applyFill="true" applyFont="true" applyNumberFormat="false" applyProtection="false" borderId="24" fillId="51" fontId="3" numFmtId="0" xfId="0">
      <alignment horizontal="center" vertical="center"/>
    </xf>
    <xf applyAlignment="true" applyBorder="false" applyFill="true" applyFont="true" applyNumberFormat="false" applyProtection="false" borderId="24" fillId="54" fontId="3" numFmtId="0" xfId="0">
      <alignment horizontal="center" vertical="center"/>
    </xf>
    <xf applyAlignment="true" applyBorder="false" applyFill="false" applyFont="true" applyNumberFormat="true" applyProtection="false" borderId="24" fillId="0" fontId="5" numFmtId="196" xfId="0">
      <alignment horizontal="center" vertical="center"/>
    </xf>
    <xf applyAlignment="true" applyBorder="false" applyFill="true" applyFont="true" applyNumberFormat="true" applyProtection="false" borderId="24" fillId="51" fontId="5" numFmtId="195" xfId="0">
      <alignment horizontal="center" vertical="center"/>
    </xf>
    <xf applyAlignment="true" applyBorder="false" applyFill="true" applyFont="true" applyNumberFormat="true" applyProtection="false" borderId="24" fillId="54" fontId="5" numFmtId="195" xfId="0">
      <alignment horizontal="center" vertical="center"/>
    </xf>
    <xf applyAlignment="true" applyBorder="false" applyFill="true" applyFont="true" applyNumberFormat="true" applyProtection="false" borderId="24" fillId="55" fontId="5" numFmtId="195" xfId="0">
      <alignment horizontal="center" vertical="center"/>
    </xf>
    <xf applyAlignment="true" applyBorder="false" applyFill="true" applyFont="true" applyNumberFormat="true" applyProtection="false" borderId="23" fillId="51" fontId="9" numFmtId="194" xfId="0">
      <alignment horizontal="center" vertical="center"/>
    </xf>
    <xf applyAlignment="true" applyBorder="false" applyFill="true" applyFont="true" applyNumberFormat="true" applyProtection="false" borderId="23" fillId="52" fontId="9" numFmtId="194" xfId="0">
      <alignment horizontal="center" vertical="center"/>
    </xf>
    <xf applyAlignment="true" applyBorder="false" applyFill="false" applyFont="true" applyNumberFormat="true" applyProtection="false" borderId="0" fillId="0" fontId="9" numFmtId="194" xfId="0">
      <alignment horizontal="center" vertical="center"/>
    </xf>
    <xf applyAlignment="true" applyBorder="false" applyFill="true" applyFont="true" applyNumberFormat="true" applyProtection="false" borderId="0" fillId="50" fontId="9" numFmtId="194" xfId="0">
      <alignment horizontal="center" vertical="center"/>
    </xf>
    <xf applyAlignment="true" applyBorder="false" applyFill="true" applyFont="true" applyNumberFormat="true" applyProtection="false" borderId="0" fillId="50" fontId="20" numFmtId="195" xfId="0">
      <alignment horizontal="center" vertical="center"/>
    </xf>
    <xf applyAlignment="true" applyBorder="false" applyFill="true" applyFont="true" applyNumberFormat="true" applyProtection="false" borderId="0" fillId="51" fontId="9" numFmtId="194" xfId="0">
      <alignment horizontal="center" vertical="center"/>
    </xf>
    <xf applyAlignment="true" applyBorder="false" applyFill="true" applyFont="true" applyNumberFormat="true" applyProtection="false" borderId="0" fillId="51" fontId="20" numFmtId="195" xfId="0">
      <alignment horizontal="center" vertical="center"/>
    </xf>
    <xf applyAlignment="true" applyBorder="false" applyFill="true" applyFont="true" applyNumberFormat="true" applyProtection="false" borderId="0" fillId="52" fontId="9" numFmtId="194" xfId="0">
      <alignment horizontal="center" vertical="center"/>
    </xf>
    <xf applyAlignment="true" applyBorder="false" applyFill="true" applyFont="true" applyNumberFormat="true" applyProtection="false" borderId="0" fillId="52" fontId="20" numFmtId="195" xfId="0">
      <alignment horizontal="center" vertical="center"/>
    </xf>
    <xf applyAlignment="true" applyBorder="false" applyFill="true" applyFont="true" applyNumberFormat="false" applyProtection="false" borderId="25" fillId="56" fontId="33" numFmtId="0" xfId="0">
      <alignment horizontal="center" vertical="center"/>
    </xf>
    <xf applyAlignment="true" applyBorder="false" applyFill="true" applyFont="true" applyNumberFormat="false" applyProtection="false" borderId="25" fillId="56" fontId="33" numFmtId="0" xfId="0">
      <alignment horizontal="center" vertical="center"/>
    </xf>
    <xf applyAlignment="true" applyBorder="false" applyFill="true" applyFont="true" applyNumberFormat="true" applyProtection="false" borderId="25" fillId="56" fontId="33" numFmtId="197" xfId="0">
      <alignment horizontal="center" vertical="center"/>
    </xf>
    <xf applyAlignment="true" applyBorder="false" applyFill="true" applyFont="true" applyNumberFormat="true" applyProtection="false" borderId="25" fillId="56" fontId="33" numFmtId="198" xfId="0">
      <alignment horizontal="center" vertical="center"/>
    </xf>
    <xf applyAlignment="true" applyBorder="false" applyFill="true" applyFont="true" applyNumberFormat="true" applyProtection="false" borderId="25" fillId="56" fontId="33" numFmtId="199" xfId="0">
      <alignment horizontal="center" vertical="center"/>
    </xf>
    <xf applyAlignment="true" applyBorder="false" applyFill="false" applyFont="true" applyNumberFormat="true" applyProtection="false" borderId="25" fillId="0" fontId="26" numFmtId="200" xfId="0">
      <alignment horizontal="center" vertical="center"/>
    </xf>
    <xf applyAlignment="true" applyBorder="false" applyFill="false" applyFont="true" applyNumberFormat="true" applyProtection="false" borderId="25" fillId="0" fontId="26" numFmtId="197" xfId="0">
      <alignment horizontal="center" vertical="center"/>
    </xf>
    <xf applyAlignment="true" applyBorder="false" applyFill="false" applyFont="true" applyNumberFormat="true" applyProtection="false" borderId="25" fillId="0" fontId="26" numFmtId="198" xfId="0">
      <alignment horizontal="center" vertical="center"/>
    </xf>
    <xf applyAlignment="true" applyBorder="false" applyFill="false" applyFont="true" applyNumberFormat="true" applyProtection="false" borderId="25" fillId="0" fontId="26" numFmtId="201" xfId="0">
      <alignment horizontal="center" vertical="center"/>
    </xf>
    <xf applyAlignment="true" applyBorder="false" applyFill="false" applyFont="true" applyNumberFormat="true" applyProtection="false" borderId="25" fillId="0" fontId="26" numFmtId="197" xfId="0">
      <alignment horizontal="center" vertical="center"/>
    </xf>
    <xf applyAlignment="true" applyBorder="false" applyFill="false" applyFont="true" applyNumberFormat="true" applyProtection="false" borderId="25" fillId="0" fontId="26" numFmtId="198" xfId="0">
      <alignment horizontal="center" vertical="center"/>
    </xf>
    <xf applyAlignment="true" applyBorder="false" applyFill="false" applyFont="true" applyNumberFormat="true" applyProtection="false" borderId="25" fillId="0" fontId="26" numFmtId="199" xfId="0">
      <alignment horizontal="center" vertical="center"/>
    </xf>
    <xf applyAlignment="true" applyBorder="false" applyFill="false" applyFont="true" applyNumberFormat="false" applyProtection="false" borderId="25" fillId="0" fontId="26" numFmtId="0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26" fillId="0" fontId="2" numFmtId="202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27" fillId="0" fontId="2" numFmtId="202" xfId="0">
      <alignment horizontal="center" vertical="center"/>
    </xf>
    <xf applyAlignment="true" applyBorder="false" applyFill="false" applyFont="true" applyNumberFormat="false" applyProtection="false" borderId="27" fillId="0" fontId="2" numFmtId="0" xfId="0">
      <alignment horizontal="center" vertical="center"/>
    </xf>
    <xf applyAlignment="true" applyBorder="false" applyFill="false" applyFont="true" applyNumberFormat="true" applyProtection="false" borderId="26" fillId="0" fontId="2" numFmtId="202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6">
    <dxf>
      <font>
        <b val="true"/>
        <sz val="11"/>
        <color rgb="FFF54A45"/>
        <name val="Calibri"/>
        <family val="2"/>
        <scheme val="minor"/>
      </font>
      <fill>
        <patternFill patternType="solid">
          <fgColor/>
          <bgColor rgb="FFFBBFBC"/>
        </patternFill>
      </fill>
    </dxf>
    <dxf>
      <font>
        <b val="true"/>
        <sz val="11"/>
        <color rgb="FFF54A45"/>
        <name val="Calibri"/>
        <family val="2"/>
        <scheme val="minor"/>
      </font>
      <fill>
        <patternFill patternType="solid">
          <fgColor/>
          <bgColor rgb="FFFFF258"/>
        </patternFill>
      </fill>
    </dxf>
    <dxf>
      <fill>
        <patternFill patternType="solid">
          <fgColor/>
          <bgColor rgb="FFD9F5D6"/>
        </patternFill>
      </fill>
    </dxf>
    <dxf>
      <font>
        <b val="true"/>
        <sz val="11"/>
        <color rgb="FFF54A45"/>
        <name val="Calibri"/>
        <family val="2"/>
        <scheme val="minor"/>
      </font>
      <fill>
        <patternFill patternType="solid">
          <fgColor/>
          <bgColor rgb="FFFFF258"/>
        </patternFill>
      </fill>
    </dxf>
    <dxf>
      <fill>
        <patternFill patternType="solid">
          <fgColor/>
          <bgColor rgb="FFD9F5D6"/>
        </patternFill>
      </fill>
    </dxf>
    <dxf>
      <fill>
        <patternFill patternType="solid">
          <fgColor/>
          <bgColor rgb="FFD9F5D6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plotArea>
      <barChart>
        <barDir val="col"/>
        <grouping val="clustered"/>
        <varyColors val="false"/>
        <ser>
          <idx val="0"/>
          <order val="0"/>
          <tx>
            <strRef>
              <f>'充值总额'!$B$3</f>
            </strRef>
          </tx>
          <spPr>
            <a:solidFill>
              <a:srgbClr val="5383F1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'充值总额'!$A$4:$A$34</f>
            </strRef>
          </cat>
          <val>
            <numRef>
              <f>'充值总额'!$B$4:$B$34</f>
            </numRef>
          </val>
          <smooth val="false"/>
        </ser>
        <ser>
          <idx val="1"/>
          <order val="1"/>
          <tx>
            <strRef>
              <f>'充值总额'!$C$3</f>
            </strRef>
          </tx>
          <spPr>
            <a:solidFill>
              <a:srgbClr val="55C6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'充值总额'!$A$4:$A$34</f>
            </strRef>
          </cat>
          <val>
            <numRef>
              <f>'充值总额'!$C$4:$C$34</f>
            </numRef>
          </val>
          <smooth val="false"/>
        </ser>
        <ser>
          <idx val="2"/>
          <order val="2"/>
          <tx>
            <strRef>
              <f>'充值总额'!$D$3</f>
            </strRef>
          </tx>
          <spPr>
            <a:solidFill>
              <a:srgbClr val="915EEA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'充值总额'!$A$4:$A$34</f>
            </strRef>
          </cat>
          <val>
            <numRef>
              <f>'充值总额'!$D$4:$D$34</f>
            </numRef>
          </val>
          <smooth val="false"/>
        </ser>
        <ser>
          <idx val="3"/>
          <order val="3"/>
          <tx>
            <strRef>
              <f>'充值总额'!$E$3</f>
            </strRef>
          </tx>
          <spPr>
            <a:solidFill>
              <a:srgbClr val="EECB59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'充值总额'!$A$4:$A$34</f>
            </strRef>
          </cat>
          <val>
            <numRef>
              <f>'充值总额'!$E$4:$E$34</f>
            </numRef>
          </val>
          <smooth val="false"/>
        </ser>
        <ser>
          <idx val="4"/>
          <order val="4"/>
          <tx>
            <strRef>
              <f>'充值总额'!$F$3</f>
            </strRef>
          </tx>
          <spPr>
            <a:solidFill>
              <a:srgbClr val="EB6B67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'充值总额'!$A$4:$A$34</f>
            </strRef>
          </cat>
          <val>
            <numRef>
              <f>'充值总额'!$F$4:$F$34</f>
            </numRef>
          </val>
          <smooth val="false"/>
        </ser>
        <ser>
          <idx val="5"/>
          <order val="5"/>
          <tx>
            <strRef>
              <f>'充值总额'!$G$3</f>
            </strRef>
          </tx>
          <spPr>
            <a:solidFill>
              <a:srgbClr val="F2A144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'充值总额'!$A$4:$A$34</f>
            </strRef>
          </cat>
          <val>
            <numRef>
              <f>'充值总额'!$G$4:$G$34</f>
            </numRef>
          </val>
          <smooth val="false"/>
        </ser>
        <ser>
          <idx val="6"/>
          <order val="6"/>
          <tx>
            <strRef>
              <f>'充值总额'!$H$3</f>
            </strRef>
          </tx>
          <spPr>
            <a:solidFill>
              <a:srgbClr val="82A3F0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'充值总额'!$A$4:$A$34</f>
            </strRef>
          </cat>
          <val>
            <numRef>
              <f>'充值总额'!$H$4:$H$34</f>
            </numRef>
          </val>
          <smooth val="false"/>
        </ser>
        <ser>
          <idx val="7"/>
          <order val="7"/>
          <tx>
            <strRef>
              <f>'充值总额'!$I$3</f>
            </strRef>
          </tx>
          <spPr>
            <a:solidFill>
              <a:srgbClr val="7ED1EF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'充值总额'!$A$4:$A$34</f>
            </strRef>
          </cat>
          <val>
            <numRef>
              <f>'充值总额'!$I$4:$I$34</f>
            </numRef>
          </val>
          <smooth val="false"/>
        </ser>
        <ser>
          <idx val="8"/>
          <order val="8"/>
          <tx>
            <strRef>
              <f>'充值总额'!$J$3</f>
            </strRef>
          </tx>
          <spPr>
            <a:solidFill>
              <a:srgbClr val="A982EB"/>
            </a:solidFill>
            <a:ln>
              <a:noFill> </a:noFill>
            </a:ln>
          </spPr>
          <dLbls>
            <showLegendKey val="false"/>
            <showVal val="false"/>
            <showCatName val="false"/>
            <showSerName val="false"/>
            <showPercent val="false"/>
            <showBubbleSize val="false"/>
            <showLeaderLines val="false"/>
          </dLbls>
          <invertIfNegative val="false"/>
          <cat>
            <strRef>
              <f>'充值总额'!$A$4:$A$34</f>
            </strRef>
          </cat>
          <val>
            <numRef>
              <f>'充值总额'!$J$4:$J$34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2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plotArea>
      <barChart>
        <barDir val="col"/>
        <grouping val="clustered"/>
        <varyColors val="false"/>
        <ser>
          <idx val="0"/>
          <order val="0"/>
          <tx>
            <strRef>
              <f>'LETJOY充值总额'!$B$2</f>
            </strRef>
          </tx>
          <spPr>
            <a:solidFill>
              <a:srgbClr val="F28F1F"/>
            </a:solidFill>
            <a:ln>
              <a:noFill> </a:noFill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900">
                    <a:solidFill>
                      <a:srgbClr val="F28F1F"/>
                    </a:solidFill>
                  </a:defRPr>
                </a:pPr>
                <a:endParaRPr lang="en-US"/>
              </a:p>
            </txPr>
            <dLblPos val="outEnd"/>
          </dLbls>
          <invertIfNegative val="false"/>
          <cat>
            <strRef>
              <f>'LETJOY充值总额'!$A$3:$A$65</f>
            </strRef>
          </cat>
          <val>
            <numRef>
              <f>'LETJOY充值总额'!$B$3:$B$65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majorGridlines>
          <spPr>
            <a:ln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drawings/_rels/drawing1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></Relationship></Relationships>
</file>

<file path=xl/drawings/_rels/drawing2.xml.rels><?xml version="1.0" encoding="UTF-8" standalone="yes"?>
<Relationships xmlns="http://schemas.openxmlformats.org/package/2006/relationships"><Relationship Id="rId1" Target="../charts/chart2.xml" Type="http://schemas.openxmlformats.org/officeDocument/2006/relationships/chart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14</xdr:col>
      <xdr:colOff>0</xdr:colOff>
      <xdr:row>3</xdr:row>
      <xdr:rowOff>0</xdr:rowOff>
    </xdr:from>
    <xdr:to>
      <xdr:col>25</xdr:col>
      <xdr:colOff>342900</xdr:colOff>
      <xdr:row>31</xdr:row>
      <xdr:rowOff>200025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9525</xdr:colOff>
      <xdr:row>1</xdr:row>
      <xdr:rowOff>19050</xdr:rowOff>
    </xdr:from>
    <xdr:to>
      <xdr:col>18</xdr:col>
      <xdr:colOff>323850</xdr:colOff>
      <xdr:row>27</xdr:row>
      <xdr:rowOff>28575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8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4" ySplit="3"/>
    </sheetView>
  </sheetViews>
  <sheetFormatPr defaultColWidth="14" defaultRowHeight="19"/>
  <cols>
    <col collapsed="false" customWidth="true" hidden="false" max="6" min="6" style="0" width="21"/>
    <col collapsed="false" customWidth="true" hidden="false" max="22" min="22" style="0" width="14"/>
    <col collapsed="false" customWidth="true" hidden="false" max="38" min="38" style="0" width="14"/>
    <col collapsed="false" customWidth="true" hidden="false" max="54" min="54" style="0" width="14"/>
    <col collapsed="false" customWidth="true" hidden="false" max="5" min="5" style="0" width="21"/>
    <col collapsed="false" customWidth="true" hidden="false" max="21" min="21" style="0" width="14"/>
    <col collapsed="false" customWidth="true" hidden="false" max="37" min="37" style="0" width="14"/>
    <col collapsed="false" customWidth="true" hidden="false" max="53" min="53" style="0" width="14"/>
    <col collapsed="false" customWidth="true" hidden="false" max="4" min="4" style="0" width="21"/>
    <col collapsed="false" customWidth="true" hidden="false" max="20" min="20" style="0" width="14"/>
    <col collapsed="false" customWidth="true" hidden="false" max="36" min="36" style="0" width="14"/>
    <col collapsed="false" customWidth="true" hidden="false" max="52" min="52" style="0" width="14"/>
    <col collapsed="false" customWidth="true" hidden="false" max="3" min="3" style="0" width="21"/>
    <col collapsed="false" customWidth="true" hidden="false" max="19" min="19" style="0" width="14"/>
    <col collapsed="false" customWidth="true" hidden="false" max="35" min="35" style="0" width="14"/>
    <col collapsed="false" customWidth="true" hidden="false" max="51" min="51" style="0" width="14"/>
    <col collapsed="false" customWidth="true" hidden="false" max="2" min="2" style="0" width="21"/>
    <col collapsed="false" customWidth="true" hidden="false" max="18" min="18" style="0" width="14"/>
    <col collapsed="false" customWidth="true" hidden="false" max="34" min="34" style="0" width="14"/>
    <col collapsed="false" customWidth="true" hidden="false" max="50" min="50" style="0" width="14"/>
    <col collapsed="false" customWidth="true" hidden="false" max="17" min="17" style="0" width="14"/>
    <col collapsed="false" customWidth="true" hidden="false" max="33" min="33" style="0" width="14"/>
    <col collapsed="false" customWidth="true" hidden="false" max="49" min="49" style="0" width="14"/>
    <col collapsed="false" customWidth="true" hidden="false" max="32" min="32" style="0" width="14"/>
    <col collapsed="false" customWidth="true" hidden="false" max="48" min="48" style="0" width="14"/>
    <col collapsed="false" customWidth="true" hidden="false" max="16" min="16" style="0" width="14"/>
    <col collapsed="false" customWidth="true" hidden="false" max="31" min="31" style="0" width="14"/>
    <col collapsed="false" customWidth="true" hidden="false" max="47" min="47" style="0" width="14"/>
    <col collapsed="false" customWidth="true" hidden="false" max="15" min="15" style="0" width="14"/>
    <col collapsed="false" customWidth="true" hidden="false" max="30" min="30" style="0" width="14"/>
    <col collapsed="false" customWidth="true" hidden="false" max="46" min="46" style="0" width="14"/>
    <col collapsed="false" customWidth="true" hidden="false" max="14" min="14" style="0" width="21"/>
    <col collapsed="false" customWidth="true" hidden="false" max="29" min="29" style="0" width="14"/>
    <col collapsed="false" customWidth="true" hidden="false" max="45" min="45" style="0" width="14"/>
    <col collapsed="false" customWidth="true" hidden="false" max="13" min="13" style="0" width="21"/>
    <col collapsed="false" customWidth="true" hidden="false" max="28" min="28" style="0" width="14"/>
    <col collapsed="false" customWidth="true" hidden="false" max="44" min="44" style="0" width="14"/>
    <col collapsed="false" customWidth="true" hidden="false" max="60" min="60" style="0" width="14"/>
    <col collapsed="false" customWidth="true" hidden="false" max="11" min="11" style="0" width="21"/>
    <col collapsed="false" customWidth="true" hidden="false" max="12" min="12" style="0" width="21"/>
    <col collapsed="false" customWidth="true" hidden="false" max="27" min="27" style="0" width="14"/>
    <col collapsed="false" customWidth="true" hidden="false" max="43" min="43" style="0" width="14"/>
    <col collapsed="false" customWidth="true" hidden="false" max="59" min="59" style="0" width="14"/>
    <col collapsed="false" customWidth="true" hidden="false" max="10" min="10" style="0" width="21"/>
    <col collapsed="false" customWidth="true" hidden="false" max="26" min="26" style="0" width="14"/>
    <col collapsed="false" customWidth="true" hidden="false" max="42" min="42" style="0" width="14"/>
    <col collapsed="false" customWidth="true" hidden="false" max="58" min="58" style="0" width="14"/>
    <col collapsed="false" customWidth="true" hidden="false" max="9" min="9" style="0" width="21"/>
    <col collapsed="false" customWidth="true" hidden="false" max="25" min="25" style="0" width="14"/>
    <col collapsed="false" customWidth="true" hidden="false" max="41" min="41" style="0" width="14"/>
    <col collapsed="false" customWidth="true" hidden="false" max="57" min="57" style="0" width="14"/>
    <col collapsed="false" customWidth="true" hidden="false" max="8" min="8" style="0" width="21"/>
    <col collapsed="false" customWidth="true" hidden="false" max="24" min="24" style="0" width="14"/>
    <col collapsed="false" customWidth="true" hidden="false" max="40" min="40" style="0" width="14"/>
    <col collapsed="false" customWidth="true" hidden="false" max="56" min="56" style="0" width="14"/>
    <col collapsed="false" customWidth="true" hidden="false" max="7" min="7" style="0" width="21"/>
    <col collapsed="false" customWidth="true" hidden="false" max="23" min="23" style="0" width="14"/>
    <col collapsed="false" customWidth="true" hidden="false" max="39" min="39" style="0" width="14"/>
    <col collapsed="false" customWidth="true" hidden="false" max="55" min="55" style="0" width="14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</row>
    <row r="2">
      <c r="A2" s="4" t="s">
        <v>2</v>
      </c>
      <c r="B2" s="5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3"/>
      <c r="W2" s="3"/>
    </row>
    <row r="3">
      <c r="A3" s="4" t="s">
        <v>4</v>
      </c>
      <c r="B3" s="7" t="s">
        <v>5</v>
      </c>
      <c r="C3" s="8" t="s">
        <v>6</v>
      </c>
      <c r="D3" s="7" t="s">
        <v>7</v>
      </c>
      <c r="E3" s="8" t="s">
        <v>8</v>
      </c>
      <c r="F3" s="7" t="s">
        <v>9</v>
      </c>
      <c r="G3" s="8" t="s">
        <v>10</v>
      </c>
      <c r="H3" s="7" t="s">
        <v>11</v>
      </c>
      <c r="I3" s="8" t="s">
        <v>12</v>
      </c>
      <c r="J3" s="7" t="s">
        <v>13</v>
      </c>
      <c r="K3" s="8" t="s">
        <v>14</v>
      </c>
      <c r="L3" s="9" t="s">
        <v>15</v>
      </c>
      <c r="M3" s="10" t="s">
        <v>16</v>
      </c>
      <c r="N3" s="8" t="s">
        <v>17</v>
      </c>
      <c r="O3" s="3"/>
      <c r="W3" s="3"/>
    </row>
    <row r="4">
      <c r="A4" s="11">
        <v>46174</v>
      </c>
      <c r="B4" s="12">
        <v>0.1667</v>
      </c>
      <c r="C4" s="13">
        <v>0.2235</v>
      </c>
      <c r="D4" s="12">
        <v>0.1538</v>
      </c>
      <c r="E4" s="13">
        <v>0.2075</v>
      </c>
      <c r="F4" s="12">
        <v>0.1884</v>
      </c>
      <c r="G4" s="13">
        <v>0.1765</v>
      </c>
      <c r="H4" s="12">
        <v>0.1734</v>
      </c>
      <c r="I4" s="13">
        <v>0.1365</v>
      </c>
      <c r="J4" s="12">
        <v>0.1501</v>
      </c>
      <c r="K4" s="13">
        <v>0.2248</v>
      </c>
      <c r="L4" s="14">
        <v>0.2167</v>
      </c>
      <c r="M4" s="13">
        <v>0.2285</v>
      </c>
      <c r="N4" s="15" t="s">
        <v>18</v>
      </c>
      <c r="O4" s="3"/>
      <c r="W4" s="3"/>
    </row>
    <row r="5">
      <c r="A5" s="11">
        <v>46175</v>
      </c>
      <c r="B5" s="12">
        <v>0.125</v>
      </c>
      <c r="C5" s="13">
        <v>0.2658</v>
      </c>
      <c r="D5" s="12">
        <v>0.2071</v>
      </c>
      <c r="E5" s="13">
        <v>0.2357</v>
      </c>
      <c r="F5" s="12">
        <v>0.1895</v>
      </c>
      <c r="G5" s="13">
        <v>0.1022</v>
      </c>
      <c r="H5" s="12">
        <v>0.2285</v>
      </c>
      <c r="I5" s="13">
        <v>0.1242</v>
      </c>
      <c r="J5" s="12">
        <v>0.1568</v>
      </c>
      <c r="K5" s="13">
        <v>0.2045</v>
      </c>
      <c r="L5" s="14">
        <v>0.1818</v>
      </c>
      <c r="M5" s="13">
        <v>0.2386</v>
      </c>
      <c r="N5" s="15" t="s">
        <v>18</v>
      </c>
      <c r="O5" s="3"/>
      <c r="W5" s="3"/>
    </row>
    <row r="6">
      <c r="A6" s="11">
        <v>46176</v>
      </c>
      <c r="B6" s="12">
        <v>0</v>
      </c>
      <c r="C6" s="13">
        <v>0.2222</v>
      </c>
      <c r="D6" s="12">
        <v>0.1905</v>
      </c>
      <c r="E6" s="13">
        <v>0.1716</v>
      </c>
      <c r="F6" s="12">
        <v>0.1858</v>
      </c>
      <c r="G6" s="13">
        <v>0.1681</v>
      </c>
      <c r="H6" s="12">
        <v>0.1493</v>
      </c>
      <c r="I6" s="13">
        <v>0.1466</v>
      </c>
      <c r="J6" s="12">
        <v>0.1828</v>
      </c>
      <c r="K6" s="13">
        <v>0.2036</v>
      </c>
      <c r="L6" s="14">
        <v>0.1642</v>
      </c>
      <c r="M6" s="13">
        <v>0.1874</v>
      </c>
      <c r="N6" s="15" t="s">
        <v>18</v>
      </c>
      <c r="O6" s="3"/>
      <c r="W6" s="3"/>
    </row>
    <row r="7">
      <c r="A7" s="11">
        <v>46177</v>
      </c>
      <c r="B7" s="12">
        <v>0.0909</v>
      </c>
      <c r="C7" s="13">
        <v>0.1132</v>
      </c>
      <c r="D7" s="12">
        <v>0.2448</v>
      </c>
      <c r="E7" s="13">
        <v>0.1647</v>
      </c>
      <c r="F7" s="12">
        <v>0.1864</v>
      </c>
      <c r="G7" s="13">
        <v>0.2126</v>
      </c>
      <c r="H7" s="12">
        <v>0.1153</v>
      </c>
      <c r="I7" s="13">
        <v>0.1445</v>
      </c>
      <c r="J7" s="12">
        <v>0.1855</v>
      </c>
      <c r="K7" s="13">
        <v>0.188</v>
      </c>
      <c r="L7" s="14">
        <v>0.1514</v>
      </c>
      <c r="M7" s="13">
        <v>0.1829</v>
      </c>
      <c r="N7" s="15" t="s">
        <v>18</v>
      </c>
      <c r="O7" s="3"/>
      <c r="W7" s="3"/>
    </row>
    <row r="8">
      <c r="A8" s="11">
        <v>46178</v>
      </c>
      <c r="B8" s="12">
        <v>0.1667</v>
      </c>
      <c r="C8" s="13">
        <v>0.1458</v>
      </c>
      <c r="D8" s="12">
        <v>0.187</v>
      </c>
      <c r="E8" s="13">
        <v>0.1643</v>
      </c>
      <c r="F8" s="12">
        <v>0.1823</v>
      </c>
      <c r="G8" s="13">
        <v>0.104</v>
      </c>
      <c r="H8" s="12">
        <v>0.2449</v>
      </c>
      <c r="I8" s="13">
        <v>0.1434</v>
      </c>
      <c r="J8" s="12">
        <v>0.1757</v>
      </c>
      <c r="K8" s="13">
        <v>0.1645</v>
      </c>
      <c r="L8" s="14">
        <v>0.2202</v>
      </c>
      <c r="M8" s="13">
        <v>0.1938</v>
      </c>
      <c r="N8" s="15" t="s">
        <v>18</v>
      </c>
      <c r="O8" s="3"/>
      <c r="W8" s="3"/>
    </row>
    <row r="9">
      <c r="A9" s="11">
        <v>46179</v>
      </c>
      <c r="B9" s="12">
        <v>0</v>
      </c>
      <c r="C9" s="13">
        <v>0.0588</v>
      </c>
      <c r="D9" s="12">
        <v>0.2481</v>
      </c>
      <c r="E9" s="13">
        <v>0.1642</v>
      </c>
      <c r="F9" s="12">
        <v>0.1691</v>
      </c>
      <c r="G9" s="13">
        <v>0.1697</v>
      </c>
      <c r="H9" s="12">
        <v>0.1565</v>
      </c>
      <c r="I9" s="13">
        <v>0.1285</v>
      </c>
      <c r="J9" s="12">
        <v>0.1458</v>
      </c>
      <c r="K9" s="13">
        <v>0.1479</v>
      </c>
      <c r="L9" s="14">
        <v>0.1929</v>
      </c>
      <c r="M9" s="13">
        <v>0.1623</v>
      </c>
      <c r="N9" s="15" t="s">
        <v>18</v>
      </c>
      <c r="O9" s="3"/>
      <c r="W9" s="3"/>
    </row>
    <row r="10">
      <c r="A10" s="11">
        <v>46180</v>
      </c>
      <c r="B10" s="12">
        <v>0.3333</v>
      </c>
      <c r="C10" s="13">
        <v>0.1639</v>
      </c>
      <c r="D10" s="12">
        <v>0.1362</v>
      </c>
      <c r="E10" s="13">
        <v>0.1923</v>
      </c>
      <c r="F10" s="12">
        <v>0.173</v>
      </c>
      <c r="G10" s="13">
        <v>0.1983</v>
      </c>
      <c r="H10" s="12">
        <v>0.1524</v>
      </c>
      <c r="I10" s="13">
        <v>0.1007</v>
      </c>
      <c r="J10" s="12">
        <v>0.173</v>
      </c>
      <c r="K10" s="13">
        <v>0.1501</v>
      </c>
      <c r="L10" s="14">
        <v>0.1328</v>
      </c>
      <c r="M10" s="13">
        <v>0.1515</v>
      </c>
      <c r="N10" s="15" t="s">
        <v>18</v>
      </c>
      <c r="O10" s="3"/>
      <c r="W10" s="3"/>
    </row>
    <row r="11">
      <c r="A11" s="11">
        <v>46181</v>
      </c>
      <c r="B11" s="12">
        <v>0.1667</v>
      </c>
      <c r="C11" s="13">
        <v>0.1429</v>
      </c>
      <c r="D11" s="12">
        <v>0.1883</v>
      </c>
      <c r="E11" s="13">
        <v>0.2299</v>
      </c>
      <c r="F11" s="12">
        <v>0.1761</v>
      </c>
      <c r="G11" s="13">
        <v>0.2065</v>
      </c>
      <c r="H11" s="12">
        <v>0.1809</v>
      </c>
      <c r="I11" s="13">
        <v>0.0952</v>
      </c>
      <c r="J11" s="12">
        <v>0.1436</v>
      </c>
      <c r="K11" s="13">
        <v>0.1597</v>
      </c>
      <c r="L11" s="14">
        <v>0.2874</v>
      </c>
      <c r="M11" s="13">
        <v>0.1466</v>
      </c>
      <c r="N11" s="15" t="s">
        <v>18</v>
      </c>
      <c r="O11" s="3"/>
      <c r="W11" s="3"/>
    </row>
    <row r="12">
      <c r="A12" s="11">
        <v>46182</v>
      </c>
      <c r="B12" s="12">
        <v>0</v>
      </c>
      <c r="C12" s="13">
        <v>0.1525</v>
      </c>
      <c r="D12" s="12">
        <v>0.1993</v>
      </c>
      <c r="E12" s="13">
        <v>0.2083</v>
      </c>
      <c r="F12" s="12">
        <v>0.2041</v>
      </c>
      <c r="G12" s="13">
        <v>0.2152</v>
      </c>
      <c r="H12" s="12">
        <v>0.2245</v>
      </c>
      <c r="I12" s="13">
        <v>0.1595</v>
      </c>
      <c r="J12" s="12">
        <v>0.166</v>
      </c>
      <c r="K12" s="13">
        <v>0.1563</v>
      </c>
      <c r="L12" s="14">
        <v>0.2164</v>
      </c>
      <c r="M12" s="13">
        <v>0.1767</v>
      </c>
      <c r="N12" s="15" t="s">
        <v>18</v>
      </c>
      <c r="O12" s="3"/>
      <c r="W12" s="3"/>
    </row>
    <row r="13">
      <c r="A13" s="11">
        <v>46183</v>
      </c>
      <c r="B13" s="12">
        <v>0.1429</v>
      </c>
      <c r="C13" s="13">
        <v>0.1373</v>
      </c>
      <c r="D13" s="12">
        <v>0.2222</v>
      </c>
      <c r="E13" s="13">
        <v>0.1791</v>
      </c>
      <c r="F13" s="12">
        <v>0.1814</v>
      </c>
      <c r="G13" s="13">
        <v>0.254</v>
      </c>
      <c r="H13" s="12">
        <v>0.2132</v>
      </c>
      <c r="I13" s="13">
        <v>0.1358</v>
      </c>
      <c r="J13" s="12">
        <v>0.1598</v>
      </c>
      <c r="K13" s="13">
        <v>0.1546</v>
      </c>
      <c r="L13" s="14">
        <v>0.2304</v>
      </c>
      <c r="M13" s="13">
        <v>0.2123</v>
      </c>
      <c r="N13" s="13">
        <v>0.4828</v>
      </c>
      <c r="O13" s="3"/>
      <c r="W13" s="3"/>
    </row>
    <row r="14">
      <c r="A14" s="11">
        <v>46184</v>
      </c>
      <c r="B14" s="12">
        <v>0.1429</v>
      </c>
      <c r="C14" s="13">
        <v>0.0893</v>
      </c>
      <c r="D14" s="12">
        <v>0.1362</v>
      </c>
      <c r="E14" s="13">
        <v>0.0976</v>
      </c>
      <c r="F14" s="12">
        <v>0.1949</v>
      </c>
      <c r="G14" s="13">
        <v>0.2105</v>
      </c>
      <c r="H14" s="12">
        <v>0.1788</v>
      </c>
      <c r="I14" s="13">
        <v>0.1677</v>
      </c>
      <c r="J14" s="12">
        <v>0.1494</v>
      </c>
      <c r="K14" s="13">
        <v>0.185</v>
      </c>
      <c r="L14" s="14">
        <v>0.1992</v>
      </c>
      <c r="M14" s="13">
        <v>0.1897</v>
      </c>
      <c r="N14" s="13">
        <v>0.3131</v>
      </c>
      <c r="O14" s="3"/>
      <c r="W14" s="3"/>
    </row>
    <row r="15">
      <c r="A15" s="11">
        <v>46185</v>
      </c>
      <c r="B15" s="12">
        <v>0.25</v>
      </c>
      <c r="C15" s="13">
        <v>0.1818</v>
      </c>
      <c r="D15" s="12">
        <v>0.1516</v>
      </c>
      <c r="E15" s="13">
        <v>0.2667</v>
      </c>
      <c r="F15" s="12">
        <v>0.1906</v>
      </c>
      <c r="G15" s="13">
        <v>0.1897</v>
      </c>
      <c r="H15" s="12">
        <v>0.1985</v>
      </c>
      <c r="I15" s="13">
        <v>0.1396</v>
      </c>
      <c r="J15" s="12">
        <v>0.1395</v>
      </c>
      <c r="K15" s="13">
        <v>0.1699</v>
      </c>
      <c r="L15" s="14">
        <v>0.1948</v>
      </c>
      <c r="M15" s="13">
        <v>0.1814</v>
      </c>
      <c r="N15" s="13">
        <v>0.1984</v>
      </c>
      <c r="O15" s="3"/>
      <c r="W15" s="3"/>
    </row>
    <row r="16">
      <c r="A16" s="11">
        <v>46186</v>
      </c>
      <c r="B16" s="12">
        <v>0</v>
      </c>
      <c r="C16" s="13">
        <v>0.1111</v>
      </c>
      <c r="D16" s="12">
        <v>0.1566</v>
      </c>
      <c r="E16" s="13">
        <v>0.1515</v>
      </c>
      <c r="F16" s="12">
        <v>0.1831</v>
      </c>
      <c r="G16" s="13">
        <v>0.1846</v>
      </c>
      <c r="H16" s="12">
        <v>0.2033</v>
      </c>
      <c r="I16" s="13">
        <v>0.0795</v>
      </c>
      <c r="J16" s="12">
        <v>0.1152</v>
      </c>
      <c r="K16" s="13">
        <v>0.1531</v>
      </c>
      <c r="L16" s="14">
        <v>0.1808</v>
      </c>
      <c r="M16" s="13">
        <v>0.1872</v>
      </c>
      <c r="N16" s="13">
        <v>0.2085</v>
      </c>
      <c r="O16" s="3"/>
      <c r="W16" s="3"/>
    </row>
    <row r="17">
      <c r="A17" s="11">
        <v>46187</v>
      </c>
      <c r="B17" s="12">
        <v>0.25</v>
      </c>
      <c r="C17" s="13">
        <v>0.3333</v>
      </c>
      <c r="D17" s="12">
        <v>0.1623</v>
      </c>
      <c r="E17" s="13">
        <v>0.1379</v>
      </c>
      <c r="F17" s="12">
        <v>0.1944</v>
      </c>
      <c r="G17" s="13">
        <v>0.2105</v>
      </c>
      <c r="H17" s="12">
        <v>0.1832</v>
      </c>
      <c r="I17" s="13">
        <v>0.1496</v>
      </c>
      <c r="J17" s="12">
        <v>0.2014</v>
      </c>
      <c r="K17" s="13">
        <v>0.1462</v>
      </c>
      <c r="L17" s="14">
        <v>0.2099</v>
      </c>
      <c r="M17" s="13">
        <v>0.1731</v>
      </c>
      <c r="N17" s="13">
        <v>0.2017</v>
      </c>
      <c r="O17" s="3"/>
      <c r="W17" s="3"/>
    </row>
    <row r="18">
      <c r="A18" s="11">
        <v>46188</v>
      </c>
      <c r="B18" s="12">
        <v>0</v>
      </c>
      <c r="C18" s="13">
        <v>0.1724</v>
      </c>
      <c r="D18" s="12">
        <v>0.1558</v>
      </c>
      <c r="E18" s="13">
        <v>0.1667</v>
      </c>
      <c r="F18" s="12">
        <v>0.2</v>
      </c>
      <c r="G18" s="13">
        <v>0.2167</v>
      </c>
      <c r="H18" s="12">
        <v>0.2078</v>
      </c>
      <c r="I18" s="13">
        <v>0.1349</v>
      </c>
      <c r="J18" s="12">
        <v>0.1548</v>
      </c>
      <c r="K18" s="13">
        <v>0.1645</v>
      </c>
      <c r="L18" s="14">
        <v>0.1955</v>
      </c>
      <c r="M18" s="13">
        <v>0.168</v>
      </c>
      <c r="N18" s="13">
        <v>0.2214</v>
      </c>
      <c r="O18" s="3"/>
      <c r="W18" s="3"/>
    </row>
    <row r="19">
      <c r="A19" s="11">
        <v>46189</v>
      </c>
      <c r="B19" s="12">
        <v>0</v>
      </c>
      <c r="C19" s="13">
        <v>0.2143</v>
      </c>
      <c r="D19" s="12">
        <v>0.1628</v>
      </c>
      <c r="E19" s="13">
        <v>0.1458</v>
      </c>
      <c r="F19" s="12">
        <v>0.2006</v>
      </c>
      <c r="G19" s="13">
        <v>0.1622</v>
      </c>
      <c r="H19" s="12">
        <v>0.1913</v>
      </c>
      <c r="I19" s="13">
        <v>0.1384</v>
      </c>
      <c r="J19" s="12">
        <v>0.1453</v>
      </c>
      <c r="K19" s="13">
        <v>0.204</v>
      </c>
      <c r="L19" s="14">
        <v>0.2</v>
      </c>
      <c r="M19" s="13">
        <v>0.1813</v>
      </c>
      <c r="N19" s="13">
        <v>0.22</v>
      </c>
      <c r="O19" s="3"/>
      <c r="W19" s="3"/>
    </row>
    <row r="20">
      <c r="A20" s="11">
        <v>46190</v>
      </c>
      <c r="B20" s="12">
        <v>0.2</v>
      </c>
      <c r="C20" s="13">
        <v>0.12</v>
      </c>
      <c r="D20" s="12">
        <v>0.1477</v>
      </c>
      <c r="E20" s="13">
        <v>0.0909</v>
      </c>
      <c r="F20" s="12">
        <v>0.1745</v>
      </c>
      <c r="G20" s="13">
        <v>0.1657</v>
      </c>
      <c r="H20" s="12">
        <v>0.211</v>
      </c>
      <c r="I20" s="13">
        <v>0.124</v>
      </c>
      <c r="J20" s="12">
        <v>0.1634</v>
      </c>
      <c r="K20" s="13">
        <v>0.1667</v>
      </c>
      <c r="L20" s="14">
        <v>0.1522</v>
      </c>
      <c r="M20" s="13">
        <v>0.1968</v>
      </c>
      <c r="N20" s="13">
        <v>0.1948</v>
      </c>
      <c r="O20" s="3"/>
      <c r="W20" s="3"/>
    </row>
    <row r="21">
      <c r="A21" s="11">
        <v>46191</v>
      </c>
      <c r="B21" s="12">
        <v>0</v>
      </c>
      <c r="C21" s="13">
        <v>0.3077</v>
      </c>
      <c r="D21" s="12">
        <v>0.1521</v>
      </c>
      <c r="E21" s="13">
        <v>0.1594</v>
      </c>
      <c r="F21" s="12">
        <v>0.1858</v>
      </c>
      <c r="G21" s="13">
        <v>0.1988</v>
      </c>
      <c r="H21" s="12">
        <v>0.2174</v>
      </c>
      <c r="I21" s="13">
        <v>0.1716</v>
      </c>
      <c r="J21" s="12">
        <v>0.1638</v>
      </c>
      <c r="K21" s="13">
        <v>0.1835</v>
      </c>
      <c r="L21" s="14">
        <v>0.1928</v>
      </c>
      <c r="M21" s="13">
        <v>0.222</v>
      </c>
      <c r="N21" s="13">
        <v>0.186</v>
      </c>
      <c r="O21" s="3"/>
      <c r="W21" s="3"/>
    </row>
    <row r="22">
      <c r="A22" s="11">
        <v>46192</v>
      </c>
      <c r="B22" s="16">
        <v>0.5</v>
      </c>
      <c r="C22" s="17">
        <v>0.2059</v>
      </c>
      <c r="D22" s="16">
        <v>0.1648</v>
      </c>
      <c r="E22" s="17">
        <v>0.2078</v>
      </c>
      <c r="F22" s="16">
        <v>0.1496</v>
      </c>
      <c r="G22" s="17">
        <v>0.2</v>
      </c>
      <c r="H22" s="16">
        <v>0.1677</v>
      </c>
      <c r="I22" s="17">
        <v>0.1905</v>
      </c>
      <c r="J22" s="16">
        <v>0.1811</v>
      </c>
      <c r="K22" s="17">
        <v>0.1701</v>
      </c>
      <c r="L22" s="18">
        <v>0.1702</v>
      </c>
      <c r="M22" s="17">
        <v>0.1683</v>
      </c>
      <c r="N22" s="17">
        <v>0.1852</v>
      </c>
      <c r="O22" s="3"/>
      <c r="W22" s="3"/>
    </row>
    <row r="23">
      <c r="A23" s="11">
        <v>46193</v>
      </c>
      <c r="B23" s="16">
        <v>0</v>
      </c>
      <c r="C23" s="17">
        <v>0.1443</v>
      </c>
      <c r="D23" s="16">
        <v>0.1438</v>
      </c>
      <c r="E23" s="17">
        <v>0.0941</v>
      </c>
      <c r="F23" s="16">
        <v>0.1606</v>
      </c>
      <c r="G23" s="17">
        <v>0.1275</v>
      </c>
      <c r="H23" s="16">
        <v>0.1612</v>
      </c>
      <c r="I23" s="17">
        <v>0.1156</v>
      </c>
      <c r="J23" s="16">
        <v>0.15</v>
      </c>
      <c r="K23" s="17">
        <v>0.1717</v>
      </c>
      <c r="L23" s="18">
        <v>0.2239</v>
      </c>
      <c r="M23" s="17">
        <v>0.2042</v>
      </c>
      <c r="N23" s="17">
        <v>0.1706</v>
      </c>
      <c r="O23" s="3"/>
      <c r="W23" s="3"/>
    </row>
    <row r="24">
      <c r="A24" s="11">
        <v>46194</v>
      </c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4"/>
      <c r="M24" s="19"/>
      <c r="N24" s="19"/>
      <c r="O24" s="3"/>
      <c r="W24" s="3"/>
    </row>
    <row r="25">
      <c r="A25" s="11">
        <v>46195</v>
      </c>
      <c r="B25" s="12"/>
      <c r="C25" s="13"/>
      <c r="D25" s="12"/>
      <c r="E25" s="12"/>
      <c r="F25" s="12"/>
      <c r="G25" s="13"/>
      <c r="H25" s="12"/>
      <c r="I25" s="13"/>
      <c r="J25" s="12"/>
      <c r="K25" s="13"/>
      <c r="L25" s="14"/>
      <c r="M25" s="19"/>
      <c r="N25" s="19"/>
      <c r="O25" s="3"/>
      <c r="W25" s="3"/>
    </row>
    <row r="26">
      <c r="A26" s="11">
        <v>46196</v>
      </c>
      <c r="B26" s="12"/>
      <c r="C26" s="13"/>
      <c r="D26" s="12"/>
      <c r="E26" s="12"/>
      <c r="F26" s="12"/>
      <c r="G26" s="13"/>
      <c r="H26" s="12"/>
      <c r="I26" s="13"/>
      <c r="J26" s="12"/>
      <c r="K26" s="13"/>
      <c r="L26" s="14"/>
      <c r="M26" s="19"/>
      <c r="N26" s="19"/>
      <c r="O26" s="3"/>
      <c r="W26" s="3"/>
    </row>
    <row r="27">
      <c r="A27" s="11">
        <v>46197</v>
      </c>
      <c r="B27" s="12"/>
      <c r="C27" s="13"/>
      <c r="D27" s="12"/>
      <c r="E27" s="13"/>
      <c r="F27" s="12"/>
      <c r="G27" s="13"/>
      <c r="H27" s="12"/>
      <c r="I27" s="13"/>
      <c r="J27" s="12"/>
      <c r="K27" s="13"/>
      <c r="L27" s="14"/>
      <c r="M27" s="19"/>
      <c r="N27" s="19"/>
      <c r="O27" s="3"/>
      <c r="W27" s="3"/>
    </row>
    <row r="28">
      <c r="A28" s="11">
        <v>46198</v>
      </c>
      <c r="B28" s="12"/>
      <c r="C28" s="13"/>
      <c r="D28" s="12"/>
      <c r="E28" s="13"/>
      <c r="F28" s="12"/>
      <c r="G28" s="13"/>
      <c r="H28" s="12"/>
      <c r="I28" s="13"/>
      <c r="J28" s="12"/>
      <c r="K28" s="13"/>
      <c r="L28" s="14"/>
      <c r="M28" s="19"/>
      <c r="N28" s="19"/>
      <c r="O28" s="3"/>
      <c r="W28" s="3"/>
    </row>
    <row r="29">
      <c r="A29" s="11">
        <v>46199</v>
      </c>
      <c r="B29" s="12"/>
      <c r="C29" s="13"/>
      <c r="D29" s="12"/>
      <c r="E29" s="13"/>
      <c r="F29" s="12"/>
      <c r="G29" s="13"/>
      <c r="H29" s="12"/>
      <c r="I29" s="13"/>
      <c r="J29" s="12"/>
      <c r="K29" s="13"/>
      <c r="L29" s="14"/>
      <c r="M29" s="19"/>
      <c r="N29" s="19"/>
      <c r="O29" s="3"/>
      <c r="W29" s="3"/>
    </row>
    <row r="30">
      <c r="A30" s="11">
        <v>46200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4"/>
      <c r="M30" s="19"/>
      <c r="N30" s="19"/>
      <c r="O30" s="3"/>
      <c r="W30" s="3"/>
    </row>
    <row r="31">
      <c r="A31" s="11">
        <v>46201</v>
      </c>
      <c r="B31" s="12"/>
      <c r="C31" s="13"/>
      <c r="D31" s="12"/>
      <c r="E31" s="13"/>
      <c r="F31" s="12"/>
      <c r="G31" s="13"/>
      <c r="H31" s="12"/>
      <c r="I31" s="13"/>
      <c r="J31" s="12"/>
      <c r="K31" s="13"/>
      <c r="L31" s="14"/>
      <c r="M31" s="19"/>
      <c r="N31" s="19"/>
      <c r="O31" s="3"/>
      <c r="W31" s="3"/>
    </row>
    <row customHeight="true" ht="22" r="32">
      <c r="A32" s="11">
        <v>46202</v>
      </c>
      <c r="B32" s="12"/>
      <c r="C32" s="13"/>
      <c r="D32" s="12"/>
      <c r="E32" s="13"/>
      <c r="F32" s="12"/>
      <c r="G32" s="13"/>
      <c r="H32" s="12"/>
      <c r="I32" s="13"/>
      <c r="J32" s="12"/>
      <c r="K32" s="13"/>
      <c r="L32" s="14"/>
      <c r="M32" s="19"/>
      <c r="N32" s="19"/>
      <c r="O32" s="3"/>
      <c r="W32" s="3"/>
    </row>
    <row customHeight="true" ht="22" r="33">
      <c r="A33" s="11">
        <v>46203</v>
      </c>
      <c r="B33" s="12"/>
      <c r="C33" s="13"/>
      <c r="D33" s="12"/>
      <c r="E33" s="13"/>
      <c r="F33" s="12"/>
      <c r="G33" s="13"/>
      <c r="H33" s="12"/>
      <c r="I33" s="13"/>
      <c r="J33" s="12"/>
      <c r="K33" s="13"/>
      <c r="L33" s="14"/>
      <c r="M33" s="19"/>
      <c r="N33" s="19"/>
      <c r="O33" s="3"/>
      <c r="W33" s="3"/>
    </row>
    <row customHeight="true" ht="22" r="34">
      <c r="A34" s="11"/>
      <c r="B34" s="12"/>
      <c r="C34" s="13"/>
      <c r="D34" s="12"/>
      <c r="E34" s="13"/>
      <c r="F34" s="12"/>
      <c r="G34" s="13"/>
      <c r="H34" s="12"/>
      <c r="I34" s="13"/>
      <c r="J34" s="12"/>
      <c r="K34" s="13"/>
      <c r="L34" s="14"/>
      <c r="M34" s="19"/>
      <c r="N34" s="19"/>
      <c r="O34" s="3"/>
      <c r="W34" s="3"/>
    </row>
    <row r="35">
      <c r="A35" s="20" t="s">
        <v>19</v>
      </c>
      <c r="B35" s="21">
        <f>AVERAGE(B4:B31)</f>
      </c>
      <c r="C35" s="21">
        <f>AVERAGE(C4:C34)</f>
      </c>
      <c r="D35" s="21">
        <f>AVERAGE(D4:D34)</f>
      </c>
      <c r="E35" s="21">
        <f>AVERAGE(E4:E34)</f>
      </c>
      <c r="F35" s="21">
        <f>AVERAGE(F4:F34)</f>
      </c>
      <c r="G35" s="21">
        <f>AVERAGE(G4:G34)</f>
      </c>
      <c r="H35" s="21">
        <f>AVERAGE(H4:H34)</f>
      </c>
      <c r="I35" s="21">
        <f>AVERAGE(I4:I34)</f>
      </c>
      <c r="J35" s="21">
        <f>AVERAGE(J4:J34)</f>
      </c>
      <c r="K35" s="21">
        <f>AVERAGE(K4:K34)</f>
      </c>
      <c r="L35" s="21">
        <f>AVERAGE(L4:L34)</f>
      </c>
      <c r="M35" s="21">
        <f>AVERAGE(M4:M34)</f>
      </c>
      <c r="N35" s="22">
        <f>AVERAGE(N4:N34)</f>
      </c>
    </row>
    <row r="36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>
      <c r="A37" s="23" t="s">
        <v>20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>
      <c r="A38" s="23" t="s">
        <v>21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>
      <c r="B39" s="2"/>
      <c r="C39" s="2"/>
      <c r="D39" s="2"/>
      <c r="E39" s="23"/>
      <c r="F39" s="2"/>
      <c r="G39" s="2"/>
      <c r="H39" s="2"/>
      <c r="I39" s="2"/>
      <c r="J39" s="2"/>
      <c r="K39" s="2"/>
      <c r="L39" s="2"/>
      <c r="M39" s="2"/>
      <c r="N39" s="2"/>
    </row>
    <row r="40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M57" s="2"/>
      <c r="N57" s="2"/>
    </row>
    <row r="58">
      <c r="M58" s="2"/>
      <c r="N58" s="2"/>
    </row>
    <row r="59">
      <c r="M59" s="2"/>
      <c r="N59" s="2"/>
    </row>
    <row r="60">
      <c r="M60" s="2"/>
      <c r="N60" s="2"/>
    </row>
    <row r="61">
      <c r="M61" s="2"/>
      <c r="N61" s="2"/>
    </row>
    <row r="62">
      <c r="M62" s="2"/>
      <c r="N62" s="2"/>
    </row>
    <row r="63">
      <c r="M63" s="2"/>
      <c r="N63" s="2"/>
    </row>
    <row r="64">
      <c r="M64" s="2"/>
      <c r="N64" s="2"/>
    </row>
    <row r="65">
      <c r="M65" s="2"/>
      <c r="N65" s="2"/>
    </row>
    <row r="66">
      <c r="M66" s="2"/>
      <c r="N66" s="2"/>
    </row>
    <row r="67">
      <c r="M67" s="2"/>
      <c r="N67" s="2"/>
    </row>
    <row r="68">
      <c r="M68" s="2"/>
      <c r="N68" s="2"/>
    </row>
    <row r="69">
      <c r="M69" s="2"/>
      <c r="N69" s="2"/>
    </row>
    <row r="70">
      <c r="M70" s="2"/>
      <c r="N70" s="2"/>
    </row>
    <row r="71">
      <c r="M71" s="2"/>
      <c r="N71" s="2"/>
    </row>
    <row r="72">
      <c r="M72" s="2"/>
      <c r="N72" s="2"/>
    </row>
    <row r="73">
      <c r="M73" s="2"/>
      <c r="N73" s="2"/>
    </row>
    <row r="74">
      <c r="M74" s="2"/>
      <c r="N74" s="2"/>
    </row>
    <row r="75">
      <c r="M75" s="2"/>
      <c r="N75" s="2"/>
    </row>
    <row r="76">
      <c r="M76" s="2"/>
      <c r="N76" s="2"/>
    </row>
    <row r="77">
      <c r="M77" s="2"/>
      <c r="N77" s="2"/>
    </row>
    <row r="78">
      <c r="M78" s="2"/>
      <c r="N78" s="2"/>
    </row>
    <row r="79">
      <c r="M79" s="2"/>
      <c r="N79" s="2"/>
    </row>
    <row r="80">
      <c r="M80" s="2"/>
      <c r="N80" s="2"/>
    </row>
    <row r="81">
      <c r="M81" s="2"/>
      <c r="N81" s="2"/>
    </row>
    <row r="82">
      <c r="M82" s="2"/>
      <c r="N82" s="2"/>
    </row>
    <row r="83">
      <c r="M83" s="2"/>
      <c r="N83" s="2"/>
    </row>
    <row r="84">
      <c r="M84" s="2"/>
      <c r="N84" s="2"/>
    </row>
    <row r="85">
      <c r="M85" s="2"/>
      <c r="N85" s="2"/>
    </row>
    <row r="86">
      <c r="M86" s="2"/>
      <c r="N86" s="2"/>
    </row>
    <row r="87">
      <c r="M87" s="2"/>
      <c r="N87" s="2"/>
    </row>
    <row r="88">
      <c r="M88" s="2"/>
      <c r="N88" s="2"/>
    </row>
    <row r="89">
      <c r="M89" s="2"/>
      <c r="N89" s="2"/>
    </row>
    <row r="90">
      <c r="M90" s="2"/>
      <c r="N90" s="2"/>
    </row>
    <row r="91">
      <c r="M91" s="2"/>
      <c r="N91" s="2"/>
    </row>
    <row r="92">
      <c r="M92" s="2"/>
      <c r="N92" s="2"/>
    </row>
    <row r="93">
      <c r="M93" s="2"/>
      <c r="N93" s="2"/>
    </row>
    <row r="94">
      <c r="M94" s="2"/>
      <c r="N94" s="2"/>
    </row>
    <row r="95">
      <c r="M95" s="2"/>
      <c r="N95" s="2"/>
    </row>
    <row r="96">
      <c r="M96" s="2"/>
      <c r="N96" s="2"/>
    </row>
    <row r="97">
      <c r="M97" s="2"/>
      <c r="N97" s="2"/>
    </row>
    <row r="98">
      <c r="M98" s="2"/>
      <c r="N98" s="2"/>
    </row>
    <row r="99">
      <c r="M99" s="2"/>
      <c r="N99" s="2"/>
    </row>
    <row r="100">
      <c r="M100" s="2"/>
      <c r="N100" s="2"/>
    </row>
    <row r="101">
      <c r="M101" s="2"/>
      <c r="N101" s="2"/>
    </row>
    <row r="102">
      <c r="M102" s="2"/>
      <c r="N102" s="2"/>
    </row>
    <row r="103">
      <c r="M103" s="2"/>
      <c r="N103" s="2"/>
    </row>
    <row r="104">
      <c r="M104" s="2"/>
      <c r="N104" s="2"/>
    </row>
    <row r="105">
      <c r="M105" s="2"/>
      <c r="N105" s="2"/>
    </row>
    <row r="106">
      <c r="M106" s="2"/>
      <c r="N106" s="2"/>
    </row>
    <row r="107">
      <c r="M107" s="2"/>
      <c r="N107" s="2"/>
    </row>
    <row r="108">
      <c r="M108" s="2"/>
      <c r="N108" s="2"/>
    </row>
    <row r="109">
      <c r="M109" s="2"/>
      <c r="N109" s="2"/>
    </row>
    <row r="110">
      <c r="M110" s="2"/>
      <c r="N110" s="2"/>
    </row>
    <row r="111">
      <c r="M111" s="2"/>
      <c r="N111" s="2"/>
    </row>
    <row r="112">
      <c r="M112" s="2"/>
      <c r="N112" s="2"/>
    </row>
    <row r="113">
      <c r="M113" s="2"/>
      <c r="N113" s="2"/>
    </row>
    <row r="114">
      <c r="M114" s="2"/>
      <c r="N114" s="2"/>
    </row>
    <row r="115">
      <c r="M115" s="2"/>
      <c r="N115" s="2"/>
    </row>
    <row r="116">
      <c r="M116" s="2"/>
      <c r="N116" s="2"/>
    </row>
    <row r="117">
      <c r="M117" s="2"/>
      <c r="N117" s="2"/>
    </row>
    <row r="118">
      <c r="M118" s="2"/>
      <c r="N118" s="2"/>
    </row>
    <row r="119">
      <c r="M119" s="2"/>
      <c r="N119" s="2"/>
    </row>
    <row r="120">
      <c r="M120" s="2"/>
      <c r="N120" s="2"/>
    </row>
    <row r="121">
      <c r="M121" s="2"/>
      <c r="N121" s="2"/>
    </row>
    <row r="122">
      <c r="M122" s="2"/>
      <c r="N122" s="2"/>
    </row>
    <row r="123">
      <c r="M123" s="2"/>
      <c r="N123" s="2"/>
    </row>
    <row r="124">
      <c r="M124" s="2"/>
      <c r="N124" s="2"/>
    </row>
    <row r="125">
      <c r="M125" s="2"/>
      <c r="N125" s="2"/>
    </row>
    <row r="126">
      <c r="M126" s="2"/>
      <c r="N126" s="2"/>
    </row>
    <row r="127">
      <c r="M127" s="2"/>
      <c r="N127" s="2"/>
    </row>
    <row r="128">
      <c r="M128" s="2"/>
      <c r="N128" s="2"/>
    </row>
    <row r="129">
      <c r="M129" s="2"/>
      <c r="N129" s="2"/>
    </row>
    <row r="130">
      <c r="M130" s="2"/>
      <c r="N130" s="2"/>
    </row>
    <row r="131">
      <c r="M131" s="2"/>
      <c r="N131" s="2"/>
    </row>
    <row r="132">
      <c r="M132" s="2"/>
      <c r="N132" s="2"/>
    </row>
    <row r="133">
      <c r="M133" s="2"/>
      <c r="N133" s="2"/>
    </row>
    <row r="134">
      <c r="M134" s="2"/>
      <c r="N134" s="2"/>
    </row>
    <row r="135">
      <c r="M135" s="2"/>
      <c r="N135" s="2"/>
    </row>
    <row r="136">
      <c r="M136" s="2"/>
      <c r="N136" s="2"/>
    </row>
    <row r="137">
      <c r="M137" s="2"/>
      <c r="N137" s="2"/>
    </row>
    <row r="138">
      <c r="M138" s="2"/>
      <c r="N138" s="2"/>
    </row>
    <row r="139">
      <c r="M139" s="2"/>
      <c r="N139" s="2"/>
    </row>
    <row r="140">
      <c r="M140" s="2"/>
      <c r="N140" s="2"/>
    </row>
    <row r="141">
      <c r="M141" s="2"/>
      <c r="N141" s="2"/>
    </row>
    <row r="142">
      <c r="M142" s="2"/>
      <c r="N142" s="2"/>
    </row>
    <row r="143">
      <c r="M143" s="2"/>
      <c r="N143" s="2"/>
    </row>
    <row r="144">
      <c r="M144" s="2"/>
      <c r="N144" s="2"/>
    </row>
    <row r="145">
      <c r="M145" s="2"/>
      <c r="N145" s="2"/>
    </row>
    <row r="146">
      <c r="M146" s="2"/>
      <c r="N146" s="2"/>
    </row>
    <row r="147">
      <c r="M147" s="2"/>
      <c r="N147" s="2"/>
    </row>
    <row r="148">
      <c r="M148" s="2"/>
      <c r="N148" s="2"/>
    </row>
    <row r="149">
      <c r="M149" s="2"/>
      <c r="N149" s="2"/>
    </row>
    <row r="150">
      <c r="M150" s="2"/>
      <c r="N150" s="2"/>
    </row>
    <row r="151">
      <c r="M151" s="2"/>
      <c r="N151" s="2"/>
    </row>
    <row r="152">
      <c r="M152" s="2"/>
      <c r="N152" s="2"/>
    </row>
    <row r="153">
      <c r="M153" s="2"/>
      <c r="N153" s="2"/>
    </row>
    <row r="154">
      <c r="M154" s="2"/>
      <c r="N154" s="2"/>
    </row>
    <row r="155">
      <c r="M155" s="2"/>
      <c r="N155" s="2"/>
    </row>
    <row r="156">
      <c r="M156" s="2"/>
      <c r="N156" s="2"/>
    </row>
    <row r="157">
      <c r="M157" s="2"/>
      <c r="N157" s="2"/>
    </row>
    <row r="158">
      <c r="M158" s="2"/>
      <c r="N158" s="2"/>
    </row>
    <row r="159">
      <c r="M159" s="2"/>
      <c r="N159" s="2"/>
    </row>
    <row r="160">
      <c r="M160" s="2"/>
      <c r="N160" s="2"/>
    </row>
    <row r="161">
      <c r="M161" s="2"/>
      <c r="N161" s="2"/>
    </row>
    <row r="162">
      <c r="M162" s="2"/>
      <c r="N162" s="2"/>
    </row>
    <row r="163">
      <c r="M163" s="2"/>
      <c r="N163" s="2"/>
    </row>
    <row r="164">
      <c r="M164" s="2"/>
      <c r="N164" s="2"/>
    </row>
    <row r="165">
      <c r="M165" s="2"/>
      <c r="N165" s="2"/>
    </row>
    <row r="166">
      <c r="M166" s="2"/>
      <c r="N166" s="2"/>
    </row>
    <row r="167">
      <c r="M167" s="2"/>
      <c r="N167" s="2"/>
    </row>
    <row r="168">
      <c r="M168" s="2"/>
      <c r="N168" s="2"/>
    </row>
    <row r="169">
      <c r="M169" s="2"/>
      <c r="N169" s="2"/>
    </row>
    <row r="170">
      <c r="M170" s="2"/>
      <c r="N170" s="2"/>
    </row>
    <row r="171">
      <c r="M171" s="2"/>
      <c r="N171" s="2"/>
    </row>
    <row r="172">
      <c r="M172" s="2"/>
      <c r="N172" s="2"/>
    </row>
    <row r="173">
      <c r="M173" s="2"/>
      <c r="N173" s="2"/>
    </row>
    <row r="174">
      <c r="M174" s="2"/>
      <c r="N174" s="2"/>
    </row>
    <row r="175">
      <c r="M175" s="2"/>
      <c r="N175" s="2"/>
    </row>
    <row r="176">
      <c r="M176" s="2"/>
      <c r="N176" s="2"/>
    </row>
    <row r="177">
      <c r="M177" s="2"/>
      <c r="N177" s="2"/>
    </row>
    <row r="178">
      <c r="M178" s="2"/>
      <c r="N178" s="2"/>
    </row>
    <row r="179">
      <c r="M179" s="2"/>
      <c r="N179" s="2"/>
    </row>
    <row r="180">
      <c r="M180" s="2"/>
      <c r="N180" s="2"/>
    </row>
    <row r="181">
      <c r="M181" s="2"/>
      <c r="N181" s="2"/>
    </row>
    <row r="182">
      <c r="M182" s="2"/>
      <c r="N182" s="2"/>
    </row>
    <row r="183">
      <c r="M183" s="2"/>
      <c r="N183" s="2"/>
    </row>
    <row r="184">
      <c r="M184" s="2"/>
      <c r="N184" s="2"/>
    </row>
    <row r="185">
      <c r="M185" s="2"/>
      <c r="N185" s="2"/>
    </row>
    <row r="186">
      <c r="M186" s="2"/>
      <c r="N186" s="2"/>
    </row>
    <row r="187">
      <c r="M187" s="2"/>
      <c r="N187" s="2"/>
    </row>
    <row r="188">
      <c r="M188" s="2"/>
      <c r="N188" s="2"/>
    </row>
    <row r="189">
      <c r="M189" s="2"/>
      <c r="N189" s="2"/>
    </row>
    <row r="190">
      <c r="M190" s="2"/>
      <c r="N190" s="2"/>
    </row>
    <row r="191">
      <c r="M191" s="2"/>
      <c r="N191" s="2"/>
    </row>
    <row r="192">
      <c r="M192" s="2"/>
      <c r="N192" s="2"/>
    </row>
    <row r="193">
      <c r="M193" s="2"/>
      <c r="N193" s="2"/>
    </row>
    <row r="194">
      <c r="M194" s="2"/>
      <c r="N194" s="2"/>
    </row>
    <row r="195">
      <c r="M195" s="2"/>
      <c r="N195" s="2"/>
    </row>
    <row r="196">
      <c r="M196" s="2"/>
      <c r="N196" s="2"/>
    </row>
    <row r="197">
      <c r="M197" s="2"/>
      <c r="N197" s="2"/>
    </row>
    <row r="198">
      <c r="M198" s="2"/>
      <c r="N198" s="2"/>
    </row>
    <row r="199">
      <c r="M199" s="2"/>
      <c r="N199" s="2"/>
    </row>
    <row r="200">
      <c r="M200" s="2"/>
      <c r="N200" s="2"/>
    </row>
  </sheetData>
  <mergeCells>
    <mergeCell ref="B2:M2"/>
  </mergeCells>
  <conditionalFormatting sqref="B3:L34 M1:N1048576">
    <cfRule dxfId="0" operator="lessThanOrEqual" priority="2" stopIfTrue="true" type="cellIs">
      <formula>0.18</formula>
    </cfRule>
  </conditionalFormatting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4" ySplit="3"/>
    </sheetView>
  </sheetViews>
  <sheetFormatPr defaultColWidth="14" defaultRowHeight="19"/>
  <cols>
    <col collapsed="false" customWidth="true" hidden="false" max="4" min="4" style="0" width="15"/>
    <col collapsed="false" customWidth="true" hidden="false" max="5" min="5" style="0" width="15"/>
    <col collapsed="false" customWidth="true" hidden="false" max="12" min="12" style="0" width="15"/>
    <col collapsed="false" customWidth="true" hidden="false" max="16" min="16" style="0" width="14"/>
    <col collapsed="false" customWidth="true" hidden="false" max="20" min="20" style="0" width="14"/>
    <col collapsed="false" customWidth="true" hidden="false" max="24" min="24" style="0" width="14"/>
    <col collapsed="false" customWidth="true" hidden="false" max="3" min="3" style="0" width="15"/>
    <col collapsed="false" customWidth="true" hidden="false" max="8" min="8" style="0" width="15"/>
    <col collapsed="false" customWidth="true" hidden="false" max="11" min="11" style="0" width="15"/>
    <col collapsed="false" customWidth="true" hidden="false" max="15" min="15" style="0" width="14"/>
    <col collapsed="false" customWidth="true" hidden="false" max="19" min="19" style="0" width="14"/>
    <col collapsed="false" customWidth="true" hidden="false" max="23" min="23" style="0" width="14"/>
    <col collapsed="false" customWidth="true" hidden="false" max="2" min="2" style="0" width="15"/>
    <col collapsed="false" customWidth="true" hidden="false" max="7" min="7" style="0" width="15"/>
    <col collapsed="false" customWidth="true" hidden="false" max="10" min="10" style="0" width="15"/>
    <col collapsed="false" customWidth="true" hidden="false" max="14" min="14" style="0" width="23"/>
    <col collapsed="false" customWidth="true" hidden="false" max="18" min="18" style="0" width="14"/>
    <col collapsed="false" customWidth="true" hidden="false" max="22" min="22" style="0" width="14"/>
    <col collapsed="false" customWidth="true" hidden="false" max="25" min="25" style="0" width="14"/>
    <col collapsed="false" customWidth="true" hidden="false" max="1" min="1" style="0" width="14"/>
    <col collapsed="false" customWidth="true" hidden="false" max="6" min="6" style="0" width="15"/>
    <col collapsed="false" customWidth="true" hidden="false" max="9" min="9" style="0" width="15"/>
    <col collapsed="false" customWidth="true" hidden="false" max="13" min="13" style="0" width="15"/>
    <col collapsed="false" customWidth="true" hidden="false" max="17" min="17" style="0" width="14"/>
    <col collapsed="false" customWidth="true" hidden="false" max="21" min="21" style="0" width="14"/>
  </cols>
  <sheetData>
    <row r="1">
      <c r="A1" s="24" t="s">
        <v>22</v>
      </c>
      <c r="B1" s="25"/>
      <c r="C1" s="25"/>
      <c r="D1" s="26"/>
      <c r="E1" s="27">
        <v>350000</v>
      </c>
      <c r="F1" s="25"/>
      <c r="G1" s="25"/>
      <c r="H1" s="25"/>
      <c r="I1" s="25"/>
      <c r="J1" s="25"/>
      <c r="K1" s="25"/>
      <c r="L1" s="25"/>
      <c r="M1" s="25"/>
      <c r="N1" s="28"/>
      <c r="Q1" s="29"/>
      <c r="R1" s="30"/>
      <c r="S1" s="30"/>
      <c r="T1" s="30"/>
      <c r="U1" s="30"/>
      <c r="V1" s="30"/>
      <c r="W1" s="30"/>
      <c r="X1" s="31"/>
      <c r="AA1" s="29"/>
      <c r="AB1" s="30"/>
      <c r="AC1" s="30"/>
      <c r="AD1" s="30"/>
      <c r="AE1" s="30"/>
      <c r="AF1" s="30"/>
      <c r="AG1" s="30"/>
      <c r="AH1" s="31"/>
      <c r="AK1" s="29"/>
      <c r="AL1" s="30"/>
      <c r="AM1" s="30"/>
      <c r="AN1" s="30"/>
      <c r="AO1" s="30"/>
      <c r="AP1" s="30"/>
      <c r="AQ1" s="30"/>
      <c r="AR1" s="31"/>
      <c r="AU1" s="29"/>
      <c r="AV1" s="30"/>
      <c r="AW1" s="30"/>
      <c r="AX1" s="30"/>
      <c r="AY1" s="30"/>
      <c r="AZ1" s="30"/>
      <c r="BA1" s="30"/>
      <c r="BB1" s="31"/>
      <c r="BE1" s="29"/>
      <c r="BF1" s="30"/>
      <c r="BG1" s="30"/>
      <c r="BH1" s="30"/>
      <c r="BI1" s="30"/>
      <c r="BJ1" s="30"/>
      <c r="BK1" s="30"/>
      <c r="BL1" s="31"/>
    </row>
    <row r="2">
      <c r="A2" s="32"/>
      <c r="B2" s="33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4"/>
      <c r="O2" s="35"/>
      <c r="Q2" s="29"/>
      <c r="R2" s="30"/>
      <c r="S2" s="30"/>
      <c r="T2" s="30"/>
      <c r="U2" s="30"/>
      <c r="V2" s="30"/>
      <c r="W2" s="30"/>
      <c r="X2" s="31"/>
      <c r="AA2" s="29"/>
      <c r="AB2" s="30"/>
      <c r="AC2" s="30"/>
      <c r="AD2" s="30"/>
      <c r="AE2" s="30"/>
      <c r="AF2" s="30"/>
      <c r="AG2" s="30"/>
      <c r="AH2" s="31"/>
      <c r="AK2" s="29"/>
      <c r="AL2" s="30"/>
      <c r="AM2" s="30"/>
      <c r="AN2" s="30"/>
      <c r="AO2" s="30"/>
      <c r="AP2" s="30"/>
      <c r="AQ2" s="30"/>
      <c r="AR2" s="31"/>
      <c r="AU2" s="29"/>
      <c r="AV2" s="30"/>
      <c r="AW2" s="30"/>
      <c r="AX2" s="30"/>
      <c r="AY2" s="30"/>
      <c r="AZ2" s="30"/>
      <c r="BA2" s="30"/>
      <c r="BB2" s="31"/>
      <c r="BE2" s="29"/>
      <c r="BF2" s="30"/>
      <c r="BG2" s="30"/>
      <c r="BH2" s="30"/>
      <c r="BI2" s="30"/>
      <c r="BJ2" s="30"/>
      <c r="BK2" s="30"/>
      <c r="BL2" s="36"/>
    </row>
    <row r="3">
      <c r="A3" s="32" t="s">
        <v>24</v>
      </c>
      <c r="B3" s="33" t="s">
        <v>25</v>
      </c>
      <c r="C3" s="37" t="s">
        <v>26</v>
      </c>
      <c r="D3" s="33" t="s">
        <v>27</v>
      </c>
      <c r="E3" s="37" t="s">
        <v>28</v>
      </c>
      <c r="F3" s="33" t="s">
        <v>29</v>
      </c>
      <c r="G3" s="37" t="s">
        <v>30</v>
      </c>
      <c r="H3" s="33" t="s">
        <v>31</v>
      </c>
      <c r="I3" s="37" t="s">
        <v>32</v>
      </c>
      <c r="J3" s="33" t="s">
        <v>33</v>
      </c>
      <c r="K3" s="37" t="s">
        <v>34</v>
      </c>
      <c r="L3" s="33" t="s">
        <v>35</v>
      </c>
      <c r="M3" s="37" t="s">
        <v>36</v>
      </c>
      <c r="N3" s="34" t="s">
        <v>37</v>
      </c>
      <c r="O3" s="36"/>
      <c r="P3" s="38"/>
      <c r="Q3" s="29"/>
      <c r="R3" s="30"/>
      <c r="S3" s="30"/>
      <c r="T3" s="30"/>
      <c r="U3" s="30"/>
      <c r="V3" s="30"/>
      <c r="W3" s="30"/>
      <c r="X3" s="31"/>
      <c r="Z3" s="38"/>
      <c r="AA3" s="29"/>
      <c r="AB3" s="30"/>
      <c r="AC3" s="30"/>
      <c r="AD3" s="30"/>
      <c r="AE3" s="30"/>
      <c r="AF3" s="30"/>
      <c r="AG3" s="30"/>
      <c r="AH3" s="31"/>
      <c r="AJ3" s="38"/>
      <c r="AK3" s="29"/>
      <c r="AL3" s="30"/>
      <c r="AM3" s="30"/>
      <c r="AN3" s="30"/>
      <c r="AO3" s="30"/>
      <c r="AP3" s="30"/>
      <c r="AQ3" s="30"/>
      <c r="AR3" s="31"/>
      <c r="AT3" s="38"/>
      <c r="AU3" s="29"/>
      <c r="AV3" s="30"/>
      <c r="AW3" s="30"/>
      <c r="AX3" s="30"/>
      <c r="AY3" s="30"/>
      <c r="AZ3" s="30"/>
      <c r="BA3" s="30"/>
      <c r="BB3" s="31"/>
      <c r="BD3" s="38"/>
      <c r="BE3" s="29"/>
      <c r="BF3" s="30"/>
      <c r="BG3" s="30"/>
      <c r="BH3" s="30"/>
      <c r="BI3" s="30"/>
      <c r="BJ3" s="30"/>
      <c r="BK3" s="30"/>
      <c r="BL3" s="36"/>
    </row>
    <row r="4">
      <c r="A4" s="39">
        <v>46174</v>
      </c>
      <c r="B4" s="40">
        <v>922.727</v>
      </c>
      <c r="C4" s="41">
        <v>11329.636</v>
      </c>
      <c r="D4" s="40">
        <v>10357.272</v>
      </c>
      <c r="E4" s="41">
        <v>29001.09</v>
      </c>
      <c r="F4" s="40">
        <v>136981.999</v>
      </c>
      <c r="G4" s="41">
        <v>23016.727</v>
      </c>
      <c r="H4" s="40">
        <v>43032.181</v>
      </c>
      <c r="I4" s="41">
        <v>71179.09</v>
      </c>
      <c r="J4" s="40">
        <v>18747.999</v>
      </c>
      <c r="K4" s="41">
        <v>27475.272</v>
      </c>
      <c r="L4" s="40">
        <v>15252.909</v>
      </c>
      <c r="M4" s="42"/>
      <c r="N4" s="34">
        <f t="shared" ref="N4:N34" si="0">B4+C4+D4+E4+F4+H4+I4+G4+J4+L4+K4+M4</f>
      </c>
      <c r="O4" s="43"/>
      <c r="P4" s="38"/>
      <c r="Q4" s="29"/>
      <c r="R4" s="30"/>
      <c r="S4" s="30"/>
      <c r="T4" s="30"/>
      <c r="U4" s="30"/>
      <c r="V4" s="30"/>
      <c r="W4" s="30"/>
      <c r="X4" s="31"/>
      <c r="Z4" s="38"/>
      <c r="AA4" s="29"/>
      <c r="AB4" s="30"/>
      <c r="AC4" s="30"/>
      <c r="AD4" s="30"/>
      <c r="AE4" s="30"/>
      <c r="AF4" s="30"/>
      <c r="AG4" s="30"/>
      <c r="AH4" s="31"/>
      <c r="AJ4" s="38"/>
      <c r="AK4" s="29"/>
      <c r="AL4" s="30"/>
      <c r="AM4" s="30"/>
      <c r="AN4" s="30"/>
      <c r="AO4" s="30"/>
      <c r="AP4" s="30"/>
      <c r="AQ4" s="30"/>
      <c r="AR4" s="31"/>
      <c r="AT4" s="38"/>
      <c r="AU4" s="29"/>
      <c r="AV4" s="30"/>
      <c r="AW4" s="30"/>
      <c r="AX4" s="30"/>
      <c r="AY4" s="30"/>
      <c r="AZ4" s="30"/>
      <c r="BA4" s="30"/>
      <c r="BB4" s="31"/>
      <c r="BD4" s="38"/>
      <c r="BE4" s="29"/>
      <c r="BF4" s="30"/>
      <c r="BG4" s="30"/>
      <c r="BH4" s="30"/>
      <c r="BI4" s="30"/>
      <c r="BJ4" s="30"/>
      <c r="BK4" s="30"/>
      <c r="BL4" s="36"/>
    </row>
    <row r="5">
      <c r="A5" s="39">
        <v>46175</v>
      </c>
      <c r="B5" s="40">
        <v>871.999</v>
      </c>
      <c r="C5" s="41">
        <v>11200.181</v>
      </c>
      <c r="D5" s="40">
        <v>13422.909</v>
      </c>
      <c r="E5" s="41">
        <v>28672.909</v>
      </c>
      <c r="F5" s="40">
        <v>130622.909</v>
      </c>
      <c r="G5" s="41">
        <v>54720.909</v>
      </c>
      <c r="H5" s="40">
        <v>41957.454</v>
      </c>
      <c r="I5" s="41">
        <v>83668.363</v>
      </c>
      <c r="J5" s="40">
        <v>22182.183</v>
      </c>
      <c r="K5" s="41">
        <v>27047.09</v>
      </c>
      <c r="L5" s="40">
        <v>16028.363</v>
      </c>
      <c r="M5" s="42"/>
      <c r="N5" s="34">
        <f t="shared" si="0"/>
      </c>
      <c r="O5" s="43"/>
      <c r="Q5" s="29"/>
      <c r="R5" s="30"/>
      <c r="S5" s="30"/>
      <c r="T5" s="30"/>
      <c r="U5" s="30"/>
      <c r="V5" s="30"/>
      <c r="W5" s="30"/>
      <c r="X5" s="31"/>
      <c r="AA5" s="29"/>
      <c r="AB5" s="30"/>
      <c r="AC5" s="30"/>
      <c r="AD5" s="30"/>
      <c r="AE5" s="30"/>
      <c r="AF5" s="30"/>
      <c r="AG5" s="30"/>
      <c r="AH5" s="31"/>
      <c r="AK5" s="29"/>
      <c r="AL5" s="30"/>
      <c r="AM5" s="30"/>
      <c r="AN5" s="30"/>
      <c r="AO5" s="30"/>
      <c r="AP5" s="30"/>
      <c r="AQ5" s="30"/>
      <c r="AR5" s="31"/>
      <c r="AU5" s="29"/>
      <c r="AV5" s="30"/>
      <c r="AW5" s="30"/>
      <c r="AX5" s="30"/>
      <c r="AY5" s="30"/>
      <c r="AZ5" s="30"/>
      <c r="BA5" s="30"/>
      <c r="BB5" s="31"/>
      <c r="BE5" s="29"/>
      <c r="BF5" s="30"/>
      <c r="BG5" s="30"/>
      <c r="BH5" s="30"/>
      <c r="BI5" s="30"/>
      <c r="BJ5" s="30"/>
      <c r="BK5" s="30"/>
      <c r="BL5" s="36"/>
    </row>
    <row r="6">
      <c r="A6" s="39">
        <v>46176</v>
      </c>
      <c r="B6" s="40">
        <v>650.545</v>
      </c>
      <c r="C6" s="41">
        <v>16618.727</v>
      </c>
      <c r="D6" s="40">
        <v>12832.727</v>
      </c>
      <c r="E6" s="41">
        <v>35378.181</v>
      </c>
      <c r="F6" s="40">
        <v>150943.999</v>
      </c>
      <c r="G6" s="41">
        <v>28427.454</v>
      </c>
      <c r="H6" s="40">
        <v>41510.909</v>
      </c>
      <c r="I6" s="41">
        <v>81629.818</v>
      </c>
      <c r="J6" s="40">
        <v>18203.272</v>
      </c>
      <c r="K6" s="41">
        <v>26223.818</v>
      </c>
      <c r="L6" s="40">
        <v>15798.545</v>
      </c>
      <c r="M6" s="42"/>
      <c r="N6" s="34">
        <f t="shared" si="0"/>
      </c>
      <c r="O6" s="43"/>
      <c r="BL6" s="36"/>
    </row>
    <row r="7">
      <c r="A7" s="39">
        <v>46177</v>
      </c>
      <c r="B7" s="40">
        <v>765.09</v>
      </c>
      <c r="C7" s="41">
        <v>16265.999</v>
      </c>
      <c r="D7" s="40">
        <v>11951.09</v>
      </c>
      <c r="E7" s="41">
        <v>36559.272</v>
      </c>
      <c r="F7" s="40">
        <v>129683.818</v>
      </c>
      <c r="G7" s="41">
        <v>22208.181</v>
      </c>
      <c r="H7" s="40">
        <v>37426.727</v>
      </c>
      <c r="I7" s="41">
        <v>75929.274</v>
      </c>
      <c r="J7" s="40">
        <v>19164.181</v>
      </c>
      <c r="K7" s="41">
        <v>27367.454</v>
      </c>
      <c r="L7" s="40">
        <v>12775.636</v>
      </c>
      <c r="M7" s="42"/>
      <c r="N7" s="34">
        <f t="shared" si="0"/>
      </c>
      <c r="O7" s="43"/>
      <c r="BL7" s="36"/>
    </row>
    <row r="8">
      <c r="A8" s="39">
        <v>46178</v>
      </c>
      <c r="B8" s="40">
        <v>1003.454</v>
      </c>
      <c r="C8" s="41">
        <v>18153.999</v>
      </c>
      <c r="D8" s="40">
        <v>13457.454</v>
      </c>
      <c r="E8" s="41">
        <v>42494.545</v>
      </c>
      <c r="F8" s="40">
        <v>184352.363</v>
      </c>
      <c r="G8" s="41">
        <v>26829.636</v>
      </c>
      <c r="H8" s="40">
        <v>45247.818</v>
      </c>
      <c r="I8" s="41">
        <v>90681.09</v>
      </c>
      <c r="J8" s="40">
        <v>18526.181</v>
      </c>
      <c r="K8" s="41">
        <v>30067.272</v>
      </c>
      <c r="L8" s="40">
        <v>14891.818</v>
      </c>
      <c r="M8" s="42"/>
      <c r="N8" s="34">
        <f t="shared" si="0"/>
      </c>
      <c r="O8" s="43"/>
      <c r="BL8" s="36"/>
    </row>
    <row r="9">
      <c r="A9" s="39">
        <v>46179</v>
      </c>
      <c r="B9" s="40">
        <v>828.909</v>
      </c>
      <c r="C9" s="41">
        <v>22638.545</v>
      </c>
      <c r="D9" s="40">
        <v>14230.909</v>
      </c>
      <c r="E9" s="41">
        <v>35679.09</v>
      </c>
      <c r="F9" s="40">
        <v>167410.727</v>
      </c>
      <c r="G9" s="41">
        <v>21020.727</v>
      </c>
      <c r="H9" s="40">
        <v>47219.454</v>
      </c>
      <c r="I9" s="41">
        <v>97941.09</v>
      </c>
      <c r="J9" s="40">
        <v>16846.545</v>
      </c>
      <c r="K9" s="41">
        <v>35444.545</v>
      </c>
      <c r="L9" s="40">
        <v>14224.363</v>
      </c>
      <c r="M9" s="42"/>
      <c r="N9" s="34">
        <f t="shared" si="0"/>
      </c>
      <c r="O9" s="43"/>
      <c r="BL9" s="36"/>
    </row>
    <row r="10">
      <c r="A10" s="44">
        <v>46180</v>
      </c>
      <c r="B10" s="40">
        <v>743.999</v>
      </c>
      <c r="C10" s="41">
        <v>12601.272</v>
      </c>
      <c r="D10" s="40">
        <v>13659.09</v>
      </c>
      <c r="E10" s="41">
        <v>36795.818</v>
      </c>
      <c r="F10" s="40">
        <v>134643.109</v>
      </c>
      <c r="G10" s="41">
        <v>17435.999</v>
      </c>
      <c r="H10" s="40">
        <v>38448.545</v>
      </c>
      <c r="I10" s="41">
        <v>89224.727</v>
      </c>
      <c r="J10" s="40">
        <v>12951.09</v>
      </c>
      <c r="K10" s="41">
        <v>33153.272</v>
      </c>
      <c r="L10" s="40">
        <v>13484.545</v>
      </c>
      <c r="M10" s="42"/>
      <c r="N10" s="34">
        <f t="shared" si="0"/>
      </c>
      <c r="O10" s="43"/>
      <c r="BL10" s="36"/>
    </row>
    <row r="11">
      <c r="A11" s="39">
        <v>46181</v>
      </c>
      <c r="B11" s="40">
        <v>728.545</v>
      </c>
      <c r="C11" s="41">
        <v>14092.181</v>
      </c>
      <c r="D11" s="40">
        <v>12775.454</v>
      </c>
      <c r="E11" s="41">
        <v>34751.09</v>
      </c>
      <c r="F11" s="40">
        <v>151602.727</v>
      </c>
      <c r="G11" s="41">
        <v>19225.636</v>
      </c>
      <c r="H11" s="40">
        <v>37492.181</v>
      </c>
      <c r="I11" s="41">
        <v>104603.999</v>
      </c>
      <c r="J11" s="40">
        <v>15203.636</v>
      </c>
      <c r="K11" s="41">
        <v>29358.363</v>
      </c>
      <c r="L11" s="40">
        <v>15126.181</v>
      </c>
      <c r="M11" s="42"/>
      <c r="N11" s="34">
        <f t="shared" si="0"/>
      </c>
      <c r="O11" s="43"/>
      <c r="R11" s="45"/>
      <c r="S11" s="46"/>
      <c r="T11" s="46"/>
      <c r="U11" s="45"/>
      <c r="V11" s="47"/>
      <c r="BL11" s="36"/>
    </row>
    <row r="12">
      <c r="A12" s="39">
        <v>46182</v>
      </c>
      <c r="B12" s="40">
        <v>804.363</v>
      </c>
      <c r="C12" s="41">
        <v>13286.545</v>
      </c>
      <c r="D12" s="40">
        <v>14788.181</v>
      </c>
      <c r="E12" s="41">
        <v>31907.272</v>
      </c>
      <c r="F12" s="40">
        <v>154557.818</v>
      </c>
      <c r="G12" s="41">
        <v>15981.818</v>
      </c>
      <c r="H12" s="40">
        <v>39338.909</v>
      </c>
      <c r="I12" s="41">
        <v>89340.545</v>
      </c>
      <c r="J12" s="40">
        <v>18103.09</v>
      </c>
      <c r="K12" s="41">
        <v>39161.454</v>
      </c>
      <c r="L12" s="40">
        <v>16282.909</v>
      </c>
      <c r="M12" s="42"/>
      <c r="N12" s="34">
        <f t="shared" si="0"/>
      </c>
      <c r="O12" s="43"/>
      <c r="R12" s="45"/>
      <c r="S12" s="48"/>
      <c r="T12" s="46"/>
      <c r="U12" s="49"/>
      <c r="V12" s="49"/>
      <c r="BL12" s="36"/>
    </row>
    <row r="13">
      <c r="A13" s="39">
        <v>46183</v>
      </c>
      <c r="B13" s="40">
        <v>731.272</v>
      </c>
      <c r="C13" s="41">
        <v>13052.181</v>
      </c>
      <c r="D13" s="40">
        <v>13167.09</v>
      </c>
      <c r="E13" s="41">
        <v>26454.363</v>
      </c>
      <c r="F13" s="40">
        <v>162279.636</v>
      </c>
      <c r="G13" s="41">
        <v>16664.363</v>
      </c>
      <c r="H13" s="40">
        <v>39018.363</v>
      </c>
      <c r="I13" s="41">
        <v>86947.818</v>
      </c>
      <c r="J13" s="40">
        <v>15712.363</v>
      </c>
      <c r="K13" s="41">
        <v>32096.381</v>
      </c>
      <c r="L13" s="40">
        <v>14058.181</v>
      </c>
      <c r="M13" s="41">
        <v>1094.545</v>
      </c>
      <c r="N13" s="34">
        <f t="shared" si="0"/>
      </c>
      <c r="O13" s="43"/>
      <c r="R13" s="45"/>
      <c r="S13" s="48"/>
      <c r="T13" s="46"/>
      <c r="U13" s="49"/>
      <c r="V13" s="49"/>
      <c r="BL13" s="36"/>
    </row>
    <row r="14">
      <c r="A14" s="39">
        <v>46184</v>
      </c>
      <c r="B14" s="40">
        <v>787.454</v>
      </c>
      <c r="C14" s="41">
        <v>10715.999</v>
      </c>
      <c r="D14" s="40">
        <v>12431.999</v>
      </c>
      <c r="E14" s="41">
        <v>29399.999</v>
      </c>
      <c r="F14" s="40">
        <v>130361.999</v>
      </c>
      <c r="G14" s="41">
        <v>13604.909</v>
      </c>
      <c r="H14" s="40">
        <v>38008.727</v>
      </c>
      <c r="I14" s="41">
        <v>71162.545</v>
      </c>
      <c r="J14" s="40">
        <v>13875.818</v>
      </c>
      <c r="K14" s="41">
        <v>26090.545</v>
      </c>
      <c r="L14" s="40">
        <v>12528.727</v>
      </c>
      <c r="M14" s="41">
        <v>7614.545</v>
      </c>
      <c r="N14" s="34">
        <f t="shared" si="0"/>
      </c>
      <c r="O14" s="43"/>
      <c r="R14" s="45"/>
      <c r="S14" s="48"/>
      <c r="T14" s="46"/>
      <c r="U14" s="49"/>
      <c r="V14" s="49"/>
      <c r="BL14" s="36"/>
    </row>
    <row r="15">
      <c r="A15" s="39">
        <v>46185</v>
      </c>
      <c r="B15" s="40">
        <v>744.363</v>
      </c>
      <c r="C15" s="41">
        <v>11551.999</v>
      </c>
      <c r="D15" s="40">
        <v>11763.636</v>
      </c>
      <c r="E15" s="41">
        <v>28051.454</v>
      </c>
      <c r="F15" s="40">
        <v>136847.272</v>
      </c>
      <c r="G15" s="41">
        <v>15602.545</v>
      </c>
      <c r="H15" s="40">
        <v>32235.999</v>
      </c>
      <c r="I15" s="41">
        <v>63281.272</v>
      </c>
      <c r="J15" s="40">
        <v>13257.636</v>
      </c>
      <c r="K15" s="41">
        <v>24292.363</v>
      </c>
      <c r="L15" s="40">
        <v>10723.09</v>
      </c>
      <c r="M15" s="41">
        <v>12826.181</v>
      </c>
      <c r="N15" s="34">
        <f t="shared" si="0"/>
      </c>
      <c r="O15" s="43"/>
      <c r="BL15" s="36"/>
    </row>
    <row r="16">
      <c r="A16" s="39">
        <v>46186</v>
      </c>
      <c r="B16" s="40">
        <v>840.909</v>
      </c>
      <c r="C16" s="41">
        <v>9711.818</v>
      </c>
      <c r="D16" s="40">
        <v>14260.727</v>
      </c>
      <c r="E16" s="41">
        <v>30030.181</v>
      </c>
      <c r="F16" s="40">
        <v>134523.272</v>
      </c>
      <c r="G16" s="41">
        <v>13777.636</v>
      </c>
      <c r="H16" s="40">
        <v>31359.09</v>
      </c>
      <c r="I16" s="41">
        <v>57571.818</v>
      </c>
      <c r="J16" s="40">
        <v>11339.09</v>
      </c>
      <c r="K16" s="41">
        <v>27258.181</v>
      </c>
      <c r="L16" s="40">
        <v>14105.09</v>
      </c>
      <c r="M16" s="41">
        <v>13675.454</v>
      </c>
      <c r="N16" s="34">
        <f t="shared" si="0"/>
      </c>
      <c r="O16" s="43"/>
      <c r="BL16" s="36"/>
    </row>
    <row r="17">
      <c r="A17" s="44">
        <v>46187</v>
      </c>
      <c r="B17" s="40">
        <v>1086.545</v>
      </c>
      <c r="C17" s="41">
        <v>8805.09</v>
      </c>
      <c r="D17" s="40">
        <v>11545.272</v>
      </c>
      <c r="E17" s="41">
        <v>32408.909</v>
      </c>
      <c r="F17" s="40">
        <v>116145.999</v>
      </c>
      <c r="G17" s="41">
        <v>11939.272</v>
      </c>
      <c r="H17" s="40">
        <v>29421.09</v>
      </c>
      <c r="I17" s="41">
        <v>43574.363</v>
      </c>
      <c r="J17" s="40">
        <v>9104.727</v>
      </c>
      <c r="K17" s="41">
        <v>35043.09</v>
      </c>
      <c r="L17" s="40">
        <v>9846.363</v>
      </c>
      <c r="M17" s="41">
        <v>13529.999</v>
      </c>
      <c r="N17" s="34">
        <f t="shared" si="0"/>
      </c>
      <c r="O17" s="43"/>
      <c r="BL17" s="36"/>
    </row>
    <row r="18">
      <c r="A18" s="39">
        <v>46188</v>
      </c>
      <c r="B18" s="40">
        <v>605.272</v>
      </c>
      <c r="C18" s="41">
        <v>10593.999</v>
      </c>
      <c r="D18" s="40">
        <v>12011.999</v>
      </c>
      <c r="E18" s="41">
        <v>29722.363</v>
      </c>
      <c r="F18" s="40">
        <v>156977.818</v>
      </c>
      <c r="G18" s="41">
        <v>16068.545</v>
      </c>
      <c r="H18" s="40">
        <v>32001.818</v>
      </c>
      <c r="I18" s="41">
        <v>57150.909</v>
      </c>
      <c r="J18" s="40">
        <v>14293.454</v>
      </c>
      <c r="K18" s="41">
        <v>33327.272</v>
      </c>
      <c r="L18" s="40">
        <v>16607.818</v>
      </c>
      <c r="M18" s="41">
        <v>18219.272</v>
      </c>
      <c r="N18" s="34">
        <f t="shared" si="0"/>
      </c>
      <c r="O18" s="43"/>
      <c r="BL18" s="36"/>
    </row>
    <row r="19">
      <c r="A19" s="39">
        <v>46189</v>
      </c>
      <c r="B19" s="40">
        <v>608.909</v>
      </c>
      <c r="C19" s="41">
        <v>9743.818</v>
      </c>
      <c r="D19" s="40">
        <v>13846.181</v>
      </c>
      <c r="E19" s="41">
        <v>26310.363</v>
      </c>
      <c r="F19" s="40">
        <v>147886.727</v>
      </c>
      <c r="G19" s="41">
        <v>13695.999</v>
      </c>
      <c r="H19" s="40">
        <v>30617.272</v>
      </c>
      <c r="I19" s="41">
        <v>61409.636</v>
      </c>
      <c r="J19" s="40">
        <v>9106.727</v>
      </c>
      <c r="K19" s="41">
        <v>31536.909</v>
      </c>
      <c r="L19" s="40">
        <v>12442.727</v>
      </c>
      <c r="M19" s="41">
        <v>17956.545</v>
      </c>
      <c r="N19" s="34">
        <f t="shared" si="0"/>
      </c>
      <c r="O19" s="43"/>
      <c r="BL19" s="36"/>
    </row>
    <row r="20">
      <c r="A20" s="39">
        <v>46190</v>
      </c>
      <c r="B20" s="40">
        <v>660.363</v>
      </c>
      <c r="C20" s="41">
        <v>10156.363</v>
      </c>
      <c r="D20" s="40">
        <v>14933.999</v>
      </c>
      <c r="E20" s="41">
        <v>26074.363</v>
      </c>
      <c r="F20" s="40">
        <v>132036.909</v>
      </c>
      <c r="G20" s="41">
        <v>15838.909</v>
      </c>
      <c r="H20" s="40">
        <v>31212.363</v>
      </c>
      <c r="I20" s="41">
        <v>57205.636</v>
      </c>
      <c r="J20" s="40">
        <v>8977.636</v>
      </c>
      <c r="K20" s="41">
        <v>32322.363</v>
      </c>
      <c r="L20" s="40">
        <v>13777.09</v>
      </c>
      <c r="M20" s="41">
        <v>24195.454</v>
      </c>
      <c r="N20" s="34">
        <f t="shared" si="0"/>
      </c>
      <c r="O20" s="43"/>
      <c r="BL20" s="36"/>
    </row>
    <row r="21">
      <c r="A21" s="39">
        <v>46191</v>
      </c>
      <c r="B21" s="40">
        <v>869.09</v>
      </c>
      <c r="C21" s="41">
        <v>11242.363</v>
      </c>
      <c r="D21" s="40">
        <v>15699.818</v>
      </c>
      <c r="E21" s="41">
        <v>25482.727</v>
      </c>
      <c r="F21" s="40">
        <v>132788.365</v>
      </c>
      <c r="G21" s="41">
        <v>13497.999</v>
      </c>
      <c r="H21" s="40">
        <v>31860.909</v>
      </c>
      <c r="I21" s="41">
        <v>56377.309</v>
      </c>
      <c r="J21" s="40">
        <v>8794.727</v>
      </c>
      <c r="K21" s="41">
        <v>35171.818</v>
      </c>
      <c r="L21" s="40">
        <v>12677.09</v>
      </c>
      <c r="M21" s="41">
        <v>21126.909</v>
      </c>
      <c r="N21" s="34">
        <f t="shared" si="0"/>
      </c>
      <c r="O21" s="43"/>
      <c r="BL21" s="36"/>
    </row>
    <row r="22">
      <c r="A22" s="39">
        <v>46192</v>
      </c>
      <c r="B22" s="40">
        <v>688.181</v>
      </c>
      <c r="C22" s="41">
        <v>10890.545</v>
      </c>
      <c r="D22" s="40">
        <v>11887.818</v>
      </c>
      <c r="E22" s="41">
        <v>33284.181</v>
      </c>
      <c r="F22" s="40">
        <v>139654.545</v>
      </c>
      <c r="G22" s="41">
        <v>16050.545</v>
      </c>
      <c r="H22" s="40">
        <v>32167.09</v>
      </c>
      <c r="I22" s="41">
        <v>58444.363</v>
      </c>
      <c r="J22" s="40">
        <v>9610.727</v>
      </c>
      <c r="K22" s="41">
        <v>39559.999</v>
      </c>
      <c r="L22" s="40">
        <v>12893.272</v>
      </c>
      <c r="M22" s="41">
        <v>24704.181</v>
      </c>
      <c r="N22" s="34">
        <f t="shared" si="0"/>
      </c>
      <c r="O22" s="43"/>
      <c r="BL22" s="36"/>
    </row>
    <row r="23">
      <c r="A23" s="39">
        <v>46193</v>
      </c>
      <c r="B23" s="50">
        <v>841.454</v>
      </c>
      <c r="C23" s="41">
        <v>11426.909</v>
      </c>
      <c r="D23" s="40">
        <v>11061.272</v>
      </c>
      <c r="E23" s="41">
        <v>25475.454</v>
      </c>
      <c r="F23" s="40">
        <v>137787.818</v>
      </c>
      <c r="G23" s="41">
        <v>17331.454</v>
      </c>
      <c r="H23" s="40">
        <v>34343.818</v>
      </c>
      <c r="I23" s="41">
        <v>60916.363</v>
      </c>
      <c r="J23" s="40">
        <v>9063.454</v>
      </c>
      <c r="K23" s="41">
        <v>49537.454</v>
      </c>
      <c r="L23" s="40">
        <v>12874.363</v>
      </c>
      <c r="M23" s="41">
        <v>20864.909</v>
      </c>
      <c r="N23" s="34">
        <f t="shared" si="0"/>
      </c>
      <c r="O23" s="43"/>
      <c r="BL23" s="36"/>
    </row>
    <row r="24">
      <c r="A24" s="44">
        <v>46194</v>
      </c>
      <c r="B24" s="50">
        <v>625.272</v>
      </c>
      <c r="C24" s="41">
        <v>10849.454</v>
      </c>
      <c r="D24" s="40">
        <v>10241.454</v>
      </c>
      <c r="E24" s="41">
        <v>23221.818</v>
      </c>
      <c r="F24" s="40">
        <v>121169.636</v>
      </c>
      <c r="G24" s="41">
        <v>13400.909</v>
      </c>
      <c r="H24" s="40">
        <v>28306.181</v>
      </c>
      <c r="I24" s="41">
        <v>48412.545</v>
      </c>
      <c r="J24" s="40">
        <v>9564.545</v>
      </c>
      <c r="K24" s="41">
        <v>39992.727</v>
      </c>
      <c r="L24" s="40">
        <v>10519.272</v>
      </c>
      <c r="M24" s="41">
        <v>21194.909</v>
      </c>
      <c r="N24" s="34">
        <f t="shared" si="0"/>
      </c>
      <c r="O24" s="43"/>
      <c r="BL24" s="36"/>
    </row>
    <row r="25">
      <c r="A25" s="39">
        <v>46195</v>
      </c>
      <c r="B25" s="40"/>
      <c r="C25" s="41"/>
      <c r="D25" s="40"/>
      <c r="E25" s="41"/>
      <c r="F25" s="40"/>
      <c r="G25" s="41"/>
      <c r="H25" s="40"/>
      <c r="I25" s="41"/>
      <c r="J25" s="40"/>
      <c r="K25" s="41"/>
      <c r="L25" s="40"/>
      <c r="M25" s="41"/>
      <c r="N25" s="34">
        <f t="shared" si="0"/>
      </c>
      <c r="O25" s="43"/>
      <c r="BL25" s="36"/>
    </row>
    <row r="26">
      <c r="A26" s="39">
        <v>46196</v>
      </c>
      <c r="B26" s="40"/>
      <c r="C26" s="41"/>
      <c r="D26" s="40"/>
      <c r="E26" s="41"/>
      <c r="F26" s="40"/>
      <c r="G26" s="41"/>
      <c r="H26" s="40"/>
      <c r="I26" s="41"/>
      <c r="J26" s="40"/>
      <c r="K26" s="41"/>
      <c r="L26" s="40"/>
      <c r="M26" s="41"/>
      <c r="N26" s="34">
        <f t="shared" si="0"/>
      </c>
      <c r="O26" s="43"/>
      <c r="BL26" s="36"/>
    </row>
    <row r="27">
      <c r="A27" s="39">
        <v>46197</v>
      </c>
      <c r="B27" s="40"/>
      <c r="C27" s="41"/>
      <c r="D27" s="40"/>
      <c r="E27" s="41"/>
      <c r="F27" s="40"/>
      <c r="G27" s="41"/>
      <c r="H27" s="40"/>
      <c r="I27" s="41"/>
      <c r="J27" s="40"/>
      <c r="K27" s="41"/>
      <c r="L27" s="40"/>
      <c r="M27" s="41"/>
      <c r="N27" s="34">
        <f t="shared" si="0"/>
      </c>
      <c r="O27" s="43"/>
      <c r="BL27" s="36"/>
    </row>
    <row r="28">
      <c r="A28" s="39">
        <v>46198</v>
      </c>
      <c r="B28" s="40"/>
      <c r="C28" s="41"/>
      <c r="D28" s="40"/>
      <c r="E28" s="41"/>
      <c r="F28" s="40"/>
      <c r="G28" s="41"/>
      <c r="H28" s="40"/>
      <c r="I28" s="41"/>
      <c r="J28" s="40"/>
      <c r="K28" s="41"/>
      <c r="L28" s="40"/>
      <c r="M28" s="41"/>
      <c r="N28" s="34">
        <f t="shared" si="0"/>
      </c>
      <c r="O28" s="43"/>
      <c r="BL28" s="36"/>
    </row>
    <row r="29">
      <c r="A29" s="39">
        <v>46199</v>
      </c>
      <c r="B29" s="40"/>
      <c r="C29" s="41"/>
      <c r="D29" s="40"/>
      <c r="E29" s="41"/>
      <c r="F29" s="40"/>
      <c r="G29" s="41"/>
      <c r="H29" s="40"/>
      <c r="I29" s="41"/>
      <c r="J29" s="40"/>
      <c r="K29" s="41"/>
      <c r="L29" s="40"/>
      <c r="M29" s="41"/>
      <c r="N29" s="34">
        <f t="shared" si="0"/>
      </c>
      <c r="O29" s="43"/>
      <c r="BL29" s="36"/>
    </row>
    <row r="30">
      <c r="A30" s="39">
        <v>46200</v>
      </c>
      <c r="B30" s="40"/>
      <c r="C30" s="41"/>
      <c r="D30" s="40"/>
      <c r="E30" s="41"/>
      <c r="F30" s="40"/>
      <c r="G30" s="41"/>
      <c r="H30" s="40"/>
      <c r="I30" s="41"/>
      <c r="J30" s="40"/>
      <c r="K30" s="41"/>
      <c r="L30" s="40"/>
      <c r="M30" s="41"/>
      <c r="N30" s="34">
        <f t="shared" si="0"/>
      </c>
      <c r="O30" s="43"/>
      <c r="BL30" s="36"/>
    </row>
    <row r="31">
      <c r="A31" s="44">
        <v>46201</v>
      </c>
      <c r="B31" s="40"/>
      <c r="C31" s="41"/>
      <c r="D31" s="40"/>
      <c r="E31" s="41"/>
      <c r="F31" s="40"/>
      <c r="G31" s="41"/>
      <c r="H31" s="40"/>
      <c r="I31" s="41"/>
      <c r="J31" s="40"/>
      <c r="K31" s="41"/>
      <c r="L31" s="40"/>
      <c r="M31" s="41"/>
      <c r="N31" s="34">
        <f t="shared" si="0"/>
      </c>
      <c r="O31" s="43"/>
      <c r="BL31" s="36"/>
    </row>
    <row customHeight="true" ht="22" r="32">
      <c r="A32" s="39">
        <v>46202</v>
      </c>
      <c r="B32" s="40"/>
      <c r="C32" s="41"/>
      <c r="D32" s="40"/>
      <c r="E32" s="41"/>
      <c r="F32" s="40"/>
      <c r="G32" s="41"/>
      <c r="H32" s="40"/>
      <c r="I32" s="41"/>
      <c r="J32" s="40"/>
      <c r="K32" s="41"/>
      <c r="L32" s="40"/>
      <c r="M32" s="41"/>
      <c r="N32" s="34">
        <f t="shared" si="0"/>
      </c>
      <c r="O32" s="43"/>
      <c r="BL32" s="36"/>
    </row>
    <row customHeight="true" ht="22" r="33">
      <c r="A33" s="39">
        <v>46203</v>
      </c>
      <c r="B33" s="40"/>
      <c r="C33" s="41"/>
      <c r="D33" s="40"/>
      <c r="E33" s="41"/>
      <c r="F33" s="40"/>
      <c r="G33" s="41"/>
      <c r="H33" s="40"/>
      <c r="I33" s="41"/>
      <c r="J33" s="40"/>
      <c r="K33" s="41"/>
      <c r="L33" s="40"/>
      <c r="M33" s="41"/>
      <c r="N33" s="34">
        <f t="shared" si="0"/>
      </c>
      <c r="O33" s="43"/>
      <c r="BL33" s="36"/>
    </row>
    <row customHeight="true" ht="22" r="34">
      <c r="A34" s="39"/>
      <c r="B34" s="40"/>
      <c r="C34" s="41"/>
      <c r="D34" s="40"/>
      <c r="E34" s="41"/>
      <c r="F34" s="40"/>
      <c r="G34" s="41"/>
      <c r="H34" s="40"/>
      <c r="I34" s="41"/>
      <c r="J34" s="40"/>
      <c r="K34" s="41"/>
      <c r="L34" s="40"/>
      <c r="M34" s="41"/>
      <c r="N34" s="34">
        <f t="shared" si="0"/>
      </c>
      <c r="O34" s="43"/>
      <c r="BL34" s="36"/>
    </row>
    <row r="35">
      <c r="A35" s="51" t="s">
        <v>37</v>
      </c>
      <c r="B35" s="52">
        <f>SUM(B4:B34)</f>
      </c>
      <c r="C35" s="52">
        <f>SUM(C4:C34)</f>
      </c>
      <c r="D35" s="52">
        <f>SUM(D4:D34)</f>
      </c>
      <c r="E35" s="52">
        <f>SUM(E4:E34)</f>
      </c>
      <c r="F35" s="52">
        <f>SUM(F4:F34)</f>
      </c>
      <c r="G35" s="52">
        <f>SUM(G4:G34)</f>
      </c>
      <c r="H35" s="52">
        <f>SUM(H4:H34)</f>
      </c>
      <c r="I35" s="52">
        <f>SUM(I4:I34)</f>
      </c>
      <c r="J35" s="52">
        <f>SUM(J4:J34)</f>
      </c>
      <c r="K35" s="52">
        <f>SUM(K4:K34)</f>
      </c>
      <c r="L35" s="52">
        <f>SUM(L4:L34)</f>
      </c>
      <c r="M35" s="52">
        <f>SUM(M4:M34)</f>
      </c>
      <c r="N35" s="52">
        <f>SUM(N4:N34)</f>
      </c>
      <c r="BL35" s="53"/>
    </row>
    <row r="36">
      <c r="A36" s="54" t="s">
        <v>38</v>
      </c>
      <c r="B36" s="55">
        <f>AVERAGE(B4:B34)</f>
      </c>
      <c r="C36" s="55">
        <f>AVERAGE(C4:C34)</f>
      </c>
      <c r="D36" s="55">
        <f>AVERAGE(D4:D34)</f>
      </c>
      <c r="E36" s="55">
        <f>AVERAGE(E4:E34)</f>
      </c>
      <c r="F36" s="55">
        <f>AVERAGE(F4:F34)</f>
      </c>
      <c r="G36" s="55">
        <f>AVERAGE(G4:G34)</f>
      </c>
      <c r="H36" s="55">
        <f>AVERAGE(H4:H34)</f>
      </c>
      <c r="I36" s="55">
        <f>AVERAGE(I4:I34)</f>
      </c>
      <c r="J36" s="55">
        <f>AVERAGE(J4:J34)</f>
      </c>
      <c r="K36" s="55">
        <f>AVERAGE(K4:K34)</f>
      </c>
      <c r="L36" s="55">
        <f>AVERAGE(L4:L34)</f>
      </c>
      <c r="M36" s="55">
        <f>AVERAGE(M4:M34)</f>
      </c>
      <c r="N36" s="56">
        <f>AVERAGEIF(N4:N34,"&gt;0")</f>
      </c>
      <c r="BL36" s="53"/>
    </row>
    <row r="37">
      <c r="A37" s="57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9"/>
      <c r="BL37" s="31"/>
    </row>
    <row r="38">
      <c r="A38" s="60" t="s">
        <v>39</v>
      </c>
      <c r="B38" s="61">
        <f>IF(N36&gt;=350000,"达标","未达标")</f>
      </c>
      <c r="C38" s="59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9"/>
      <c r="BL38" s="31"/>
    </row>
    <row r="39">
      <c r="A39" s="60" t="s">
        <v>40</v>
      </c>
      <c r="B39" s="61">
        <f>E1 - N36</f>
      </c>
      <c r="C39" s="59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9"/>
      <c r="BL39" s="31"/>
    </row>
    <row r="40">
      <c r="A40" s="60" t="s">
        <v>41</v>
      </c>
      <c r="B40" s="61">
        <f>N36 / E1</f>
      </c>
      <c r="C40" s="59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9"/>
      <c r="BL40" s="31"/>
    </row>
    <row r="41">
      <c r="A41" s="60" t="s">
        <v>42</v>
      </c>
      <c r="B41" s="61">
        <f>(E1 - N36) / E1</f>
      </c>
      <c r="C41" s="59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9"/>
      <c r="BL41" s="31"/>
    </row>
    <row r="42">
      <c r="A42" s="60" t="s">
        <v>43</v>
      </c>
      <c r="B42" s="62">
        <f>(E1*30 - N36*1) / (30 -1)</f>
      </c>
      <c r="C42" s="59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  <c r="BL42" s="31"/>
    </row>
    <row r="43">
      <c r="A43" s="63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8"/>
    </row>
    <row r="44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8"/>
    </row>
    <row r="45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8"/>
    </row>
    <row r="46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8"/>
    </row>
    <row r="47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8"/>
    </row>
    <row r="48"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8"/>
    </row>
    <row r="49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8"/>
    </row>
    <row r="50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8"/>
    </row>
    <row r="51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8"/>
    </row>
    <row r="52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8"/>
    </row>
    <row r="53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8"/>
    </row>
    <row r="54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8"/>
    </row>
    <row r="5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8"/>
    </row>
    <row r="56"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8"/>
    </row>
    <row r="57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7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</row>
    <row r="70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</row>
    <row r="71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</row>
    <row r="72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</row>
    <row r="75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</row>
    <row r="76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</row>
    <row r="77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</row>
    <row r="79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</row>
    <row r="80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</row>
    <row r="81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</row>
    <row r="82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</row>
    <row r="83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</row>
    <row r="84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</row>
    <row r="85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</row>
    <row r="86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</row>
    <row r="87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</row>
    <row r="88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</row>
    <row r="89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</row>
    <row r="90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</row>
    <row r="92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</row>
    <row r="93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</row>
    <row r="95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</row>
    <row r="96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</row>
    <row r="99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</row>
    <row r="100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</row>
    <row r="101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</row>
    <row r="102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</row>
    <row r="103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</row>
    <row r="104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</row>
    <row r="105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</row>
    <row r="106"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</row>
    <row r="107"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</row>
    <row r="108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</row>
    <row r="109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</row>
    <row r="110"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</row>
    <row r="111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</row>
    <row r="112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</row>
    <row r="113"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</row>
    <row r="114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</row>
    <row r="115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</row>
    <row r="116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</row>
    <row r="117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</row>
    <row r="118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</row>
    <row r="119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</row>
    <row r="120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</row>
    <row r="121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</row>
    <row r="122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</row>
    <row r="123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</row>
    <row r="124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</row>
    <row r="125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</row>
    <row r="126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</row>
    <row r="127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</row>
    <row r="128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</row>
    <row r="129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</row>
    <row r="130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</row>
    <row r="131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</row>
    <row r="132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</row>
    <row r="133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</row>
    <row r="134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</row>
    <row r="135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</row>
    <row r="136"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</row>
    <row r="137"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</row>
    <row r="138"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</row>
    <row r="139"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</row>
    <row r="140"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</row>
    <row r="141"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</row>
    <row r="142"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</row>
    <row r="143"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</row>
    <row r="144"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</row>
    <row r="145"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</row>
    <row r="146"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</row>
    <row r="147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</row>
    <row r="148"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</row>
    <row r="149"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</row>
    <row r="150"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</row>
    <row r="151"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</row>
    <row r="152"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</row>
    <row r="153"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</row>
    <row r="154"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</row>
    <row r="155"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</row>
    <row r="156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</row>
    <row r="157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</row>
    <row r="158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</row>
    <row r="159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</row>
    <row r="160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</row>
    <row r="161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</row>
    <row r="162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</row>
    <row r="163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</row>
    <row r="164"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</row>
    <row r="165"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</row>
    <row r="166"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</row>
    <row r="167"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</row>
    <row r="168"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</row>
    <row r="169"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</row>
    <row r="170"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</row>
    <row r="171"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</row>
    <row r="172"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</row>
    <row r="173"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</row>
    <row r="174"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</row>
    <row r="175"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</row>
    <row r="176"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</row>
    <row r="177"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</row>
    <row r="178"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</row>
    <row r="179"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</row>
    <row r="180"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</row>
    <row r="181"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</row>
    <row r="182"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</row>
    <row r="183"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</row>
    <row r="184"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</row>
    <row r="185"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</row>
    <row r="186"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</row>
    <row r="187"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</row>
    <row r="188"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</row>
    <row r="189"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</row>
    <row r="190"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</row>
    <row r="191"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</row>
    <row r="192"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</row>
    <row r="193"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</row>
    <row r="194"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</row>
    <row r="195"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</row>
    <row r="196"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</row>
    <row r="197"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</row>
    <row r="198"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</row>
    <row r="199"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</row>
    <row r="200"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</row>
    <row r="201"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</row>
    <row r="202"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</row>
    <row r="203"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</row>
  </sheetData>
  <mergeCells>
    <mergeCell ref="B2:M2"/>
  </mergeCells>
  <conditionalFormatting sqref="N4:N34">
    <cfRule priority="2" type="dataBar">
      <dataBar showValue="true">
        <cfvo type="min"/>
        <cfvo type="max"/>
        <color rgb="FFFFB561"/>
      </dataBar>
      <extLst>
        <ext xmlns:x14="http://schemas.microsoft.com/office/spreadsheetml/2009/9/main" uri="{B025F937-C7B1-47D3-B67F-A62EFF666E3E}">
          <x14:id>{E316CB8C-C280-4818-A02E-982255282EED}</x14:id>
        </ext>
      </extLst>
    </cfRule>
  </conditionalFormatting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16CB8C-C280-4818-A02E-982255282EED}">
            <x14:dataBar minLength="0" maxLength="100" gradient="true" axisPosition="none">
              <x14:cfvo type="autoMin"/>
              <x14:cfvo type="autoMax"/>
              <x14:negativeFillColor rgb="f76964"/>
            </x14:dataBar>
          </x14:cfRule>
          <xm:sqref>N4:N34</xm:sqref>
        </x14:conditionalFormatting>
      </x14:conditionalFormattings>
    </ext>
  </extLst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4" ySplit="3"/>
    </sheetView>
  </sheetViews>
  <sheetFormatPr defaultColWidth="14" defaultRowHeight="19"/>
  <cols>
    <col collapsed="false" customWidth="true" hidden="false" max="3" min="3" style="0" width="14"/>
    <col collapsed="false" customWidth="true" hidden="false" max="11" min="11" style="0" width="19"/>
    <col collapsed="false" customWidth="true" hidden="false" max="19" min="19" style="0" width="14"/>
    <col collapsed="false" customWidth="true" hidden="false" max="27" min="27" style="0" width="14"/>
    <col collapsed="false" customWidth="true" hidden="false" max="4" min="4" style="0" width="14"/>
    <col collapsed="false" customWidth="true" hidden="false" max="12" min="12" style="0" width="19"/>
    <col collapsed="false" customWidth="true" hidden="false" max="20" min="20" style="0" width="14"/>
    <col collapsed="false" customWidth="true" hidden="false" max="28" min="28" style="0" width="14"/>
    <col collapsed="false" customWidth="true" hidden="false" max="5" min="5" style="0" width="14"/>
    <col collapsed="false" customWidth="true" hidden="false" max="13" min="13" style="0" width="19"/>
    <col collapsed="false" customWidth="true" hidden="false" max="21" min="21" style="0" width="14"/>
    <col collapsed="false" customWidth="true" hidden="false" max="29" min="29" style="0" width="14"/>
    <col collapsed="false" customWidth="true" hidden="false" max="6" min="6" style="0" width="20"/>
    <col collapsed="false" customWidth="true" hidden="false" max="14" min="14" style="0" width="5"/>
    <col collapsed="false" customWidth="true" hidden="false" max="22" min="22" style="0" width="14"/>
    <col collapsed="false" customWidth="true" hidden="false" max="7" min="7" style="0" width="20"/>
    <col collapsed="false" customWidth="true" hidden="false" max="15" min="15" style="0" width="14"/>
    <col collapsed="false" customWidth="true" hidden="false" max="23" min="23" style="0" width="14"/>
    <col collapsed="false" customWidth="true" hidden="false" max="8" min="8" style="0" width="19"/>
    <col collapsed="false" customWidth="true" hidden="false" max="16" min="16" style="0" width="8"/>
    <col collapsed="false" customWidth="true" hidden="false" max="24" min="24" style="0" width="14"/>
    <col collapsed="false" customWidth="true" hidden="false" max="1" min="1" style="0" width="14"/>
    <col collapsed="false" customWidth="true" hidden="false" max="9" min="9" style="0" width="19"/>
    <col collapsed="false" customWidth="true" hidden="false" max="17" min="17" style="0" width="14"/>
    <col collapsed="false" customWidth="true" hidden="false" max="25" min="25" style="0" width="14"/>
    <col collapsed="false" customWidth="true" hidden="false" max="2" min="2" style="0" width="14"/>
    <col collapsed="false" customWidth="true" hidden="false" max="10" min="10" style="0" width="19"/>
    <col collapsed="false" customWidth="true" hidden="false" max="18" min="18" style="0" width="14"/>
    <col collapsed="false" customWidth="true" hidden="false" max="26" min="26" style="0" width="14"/>
  </cols>
  <sheetData>
    <row r="1">
      <c r="A1" s="64" t="s">
        <v>44</v>
      </c>
      <c r="B1" s="65"/>
      <c r="C1" s="66" t="s">
        <v>45</v>
      </c>
      <c r="D1" s="65"/>
      <c r="E1" s="65"/>
      <c r="F1" s="65"/>
      <c r="G1" s="67"/>
      <c r="H1" s="67"/>
      <c r="I1" s="67"/>
      <c r="J1" s="67"/>
      <c r="K1" s="67"/>
      <c r="L1" s="67"/>
      <c r="M1" s="67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</row>
    <row r="2">
      <c r="A2" s="69"/>
      <c r="B2" s="70" t="s">
        <v>46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1"/>
      <c r="O2" s="68"/>
      <c r="P2" s="72" t="s">
        <v>47</v>
      </c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68"/>
      <c r="AC2" s="68"/>
    </row>
    <row r="3">
      <c r="A3" s="69" t="s">
        <v>48</v>
      </c>
      <c r="B3" s="70" t="s">
        <v>49</v>
      </c>
      <c r="C3" s="73" t="s">
        <v>50</v>
      </c>
      <c r="D3" s="74" t="s">
        <v>51</v>
      </c>
      <c r="E3" s="73" t="s">
        <v>52</v>
      </c>
      <c r="F3" s="74" t="s">
        <v>53</v>
      </c>
      <c r="G3" s="73" t="s">
        <v>54</v>
      </c>
      <c r="H3" s="74" t="s">
        <v>55</v>
      </c>
      <c r="I3" s="73" t="s">
        <v>56</v>
      </c>
      <c r="J3" s="74" t="s">
        <v>57</v>
      </c>
      <c r="K3" s="75" t="s">
        <v>58</v>
      </c>
      <c r="L3" s="76" t="s">
        <v>59</v>
      </c>
      <c r="M3" s="73" t="s">
        <v>60</v>
      </c>
      <c r="N3" s="68"/>
      <c r="O3" s="68"/>
      <c r="P3" s="77" t="s">
        <v>61</v>
      </c>
      <c r="Q3" s="78" t="s">
        <v>62</v>
      </c>
      <c r="R3" s="79" t="s">
        <v>63</v>
      </c>
      <c r="S3" s="78" t="s">
        <v>64</v>
      </c>
      <c r="T3" s="79" t="s">
        <v>65</v>
      </c>
      <c r="U3" s="78" t="s">
        <v>66</v>
      </c>
      <c r="V3" s="79" t="s">
        <v>67</v>
      </c>
      <c r="W3" s="78" t="s">
        <v>68</v>
      </c>
      <c r="X3" s="79" t="s">
        <v>69</v>
      </c>
      <c r="Y3" s="80" t="s">
        <v>70</v>
      </c>
      <c r="Z3" s="75" t="s">
        <v>71</v>
      </c>
      <c r="AA3" s="76" t="s">
        <v>72</v>
      </c>
      <c r="AB3" s="68"/>
      <c r="AC3" s="68"/>
    </row>
    <row r="4">
      <c r="A4" s="81">
        <v>46174</v>
      </c>
      <c r="B4" s="82">
        <v>0.0571</v>
      </c>
      <c r="C4" s="83">
        <v>0.3256</v>
      </c>
      <c r="D4" s="82">
        <v>0.2184</v>
      </c>
      <c r="E4" s="83">
        <v>0.2338</v>
      </c>
      <c r="F4" s="82">
        <v>0.1682</v>
      </c>
      <c r="G4" s="83">
        <v>0.1439</v>
      </c>
      <c r="H4" s="82">
        <v>0.2398</v>
      </c>
      <c r="I4" s="83">
        <v>0.2022</v>
      </c>
      <c r="J4" s="82">
        <v>0.1602</v>
      </c>
      <c r="K4" s="83">
        <v>0.2184</v>
      </c>
      <c r="L4" s="82">
        <v>0.3431</v>
      </c>
      <c r="M4" s="84"/>
      <c r="N4" s="68"/>
      <c r="O4" s="68"/>
      <c r="P4" s="77" t="s">
        <v>73</v>
      </c>
      <c r="Q4" s="85"/>
      <c r="R4" s="86">
        <v>0.1817</v>
      </c>
      <c r="S4" s="86">
        <v>0.1937</v>
      </c>
      <c r="T4" s="86">
        <v>0.1654</v>
      </c>
      <c r="U4" s="86">
        <v>0.197</v>
      </c>
      <c r="V4" s="85"/>
      <c r="W4" s="85"/>
      <c r="X4" s="85"/>
      <c r="Y4" s="85"/>
      <c r="Z4" s="85"/>
      <c r="AA4" s="85"/>
      <c r="AB4" s="68"/>
      <c r="AC4" s="68"/>
    </row>
    <row r="5">
      <c r="A5" s="81">
        <v>46175</v>
      </c>
      <c r="B5" s="82">
        <v>0.066</v>
      </c>
      <c r="C5" s="83">
        <v>-0.0076</v>
      </c>
      <c r="D5" s="82">
        <v>0.2111</v>
      </c>
      <c r="E5" s="83">
        <v>0.0057</v>
      </c>
      <c r="F5" s="82">
        <v>0.2898</v>
      </c>
      <c r="G5" s="83">
        <v>0.2326</v>
      </c>
      <c r="H5" s="82">
        <v>0.1348</v>
      </c>
      <c r="I5" s="83">
        <v>0.0818</v>
      </c>
      <c r="J5" s="82">
        <v>0.2276</v>
      </c>
      <c r="K5" s="83">
        <v>0.273</v>
      </c>
      <c r="L5" s="82">
        <v>0.214</v>
      </c>
      <c r="M5" s="84"/>
      <c r="N5" s="68"/>
      <c r="O5" s="68"/>
      <c r="P5" s="77" t="s">
        <v>74</v>
      </c>
      <c r="Q5" s="87">
        <v>0.1373193548387097</v>
      </c>
      <c r="R5" s="87">
        <v>0.22809354838709683</v>
      </c>
      <c r="S5" s="87">
        <v>0.2771612903225807</v>
      </c>
      <c r="T5" s="87">
        <v>0.20799677419354837</v>
      </c>
      <c r="U5" s="87">
        <v>0.22957419354838707</v>
      </c>
      <c r="V5" s="87">
        <v>0.0656</v>
      </c>
      <c r="W5" s="85"/>
      <c r="X5" s="85"/>
      <c r="Y5" s="85"/>
      <c r="Z5" s="85"/>
      <c r="AA5" s="85"/>
      <c r="AB5" s="65"/>
      <c r="AC5" s="68"/>
    </row>
    <row r="6">
      <c r="A6" s="81">
        <v>46176</v>
      </c>
      <c r="B6" s="82">
        <v>0.3882</v>
      </c>
      <c r="C6" s="83">
        <v>0.2453</v>
      </c>
      <c r="D6" s="82">
        <v>0.3072</v>
      </c>
      <c r="E6" s="83">
        <v>0.2208</v>
      </c>
      <c r="F6" s="82">
        <v>0.2966</v>
      </c>
      <c r="G6" s="83">
        <v>0.1156</v>
      </c>
      <c r="H6" s="82">
        <v>0.3374</v>
      </c>
      <c r="I6" s="83">
        <v>0.2432</v>
      </c>
      <c r="J6" s="82">
        <v>0.2185</v>
      </c>
      <c r="K6" s="83">
        <v>0.2602</v>
      </c>
      <c r="L6" s="82">
        <v>0.3959</v>
      </c>
      <c r="M6" s="84"/>
      <c r="N6" s="68"/>
      <c r="O6" s="68"/>
      <c r="P6" s="77" t="s">
        <v>75</v>
      </c>
      <c r="Q6" s="87">
        <v>0.1894066666666667</v>
      </c>
      <c r="R6" s="87">
        <v>0.26028</v>
      </c>
      <c r="S6" s="87">
        <v>0.3130366666666667</v>
      </c>
      <c r="T6" s="87">
        <v>0.22140333333333334</v>
      </c>
      <c r="U6" s="87">
        <v>0.22569333333333333</v>
      </c>
      <c r="V6" s="87">
        <v>0.24470666666666666</v>
      </c>
      <c r="W6" s="88">
        <v>0.11873600000000001</v>
      </c>
      <c r="X6" s="89">
        <v>0.13283333333333333</v>
      </c>
      <c r="Y6" s="85"/>
      <c r="Z6" s="85"/>
      <c r="AA6" s="85"/>
      <c r="AB6" s="65"/>
      <c r="AC6" s="68"/>
    </row>
    <row r="7">
      <c r="A7" s="81">
        <v>46177</v>
      </c>
      <c r="B7" s="82">
        <v>0.1601</v>
      </c>
      <c r="C7" s="83">
        <v>0.0089</v>
      </c>
      <c r="D7" s="82">
        <v>0.3605</v>
      </c>
      <c r="E7" s="83">
        <v>0.3319</v>
      </c>
      <c r="F7" s="82">
        <v>0.1678</v>
      </c>
      <c r="G7" s="83">
        <v>0.1361</v>
      </c>
      <c r="H7" s="82">
        <v>0.2692</v>
      </c>
      <c r="I7" s="83">
        <v>0.2561</v>
      </c>
      <c r="J7" s="82">
        <v>0.2268</v>
      </c>
      <c r="K7" s="83">
        <v>0.2501</v>
      </c>
      <c r="L7" s="82">
        <v>0.0974</v>
      </c>
      <c r="M7" s="84"/>
      <c r="N7" s="68"/>
      <c r="O7" s="68"/>
      <c r="P7" s="77" t="s">
        <v>76</v>
      </c>
      <c r="Q7" s="90">
        <v>0.06508387096774193</v>
      </c>
      <c r="R7" s="90">
        <v>0.27706129032258064</v>
      </c>
      <c r="S7" s="90">
        <v>0.3052806451612903</v>
      </c>
      <c r="T7" s="90">
        <v>0.210541935483871</v>
      </c>
      <c r="U7" s="90">
        <v>0.23098387096774198</v>
      </c>
      <c r="V7" s="90">
        <v>0.2604225806451612</v>
      </c>
      <c r="W7" s="91">
        <v>0.2156258064516129</v>
      </c>
      <c r="X7" s="92">
        <v>0.23214193548387102</v>
      </c>
      <c r="Y7" s="90">
        <v>0.20437096774193547</v>
      </c>
      <c r="Z7" s="90">
        <v>0.34243448275862076</v>
      </c>
      <c r="AA7" s="90">
        <v>0.19767419354838714</v>
      </c>
      <c r="AB7" s="65"/>
      <c r="AC7" s="68"/>
    </row>
    <row r="8">
      <c r="A8" s="81">
        <v>46178</v>
      </c>
      <c r="B8" s="82">
        <v>0.3176</v>
      </c>
      <c r="C8" s="83">
        <v>-0.0017</v>
      </c>
      <c r="D8" s="82">
        <v>0.3785</v>
      </c>
      <c r="E8" s="83">
        <v>0.2648</v>
      </c>
      <c r="F8" s="82">
        <v>0.2767</v>
      </c>
      <c r="G8" s="83">
        <v>0.3063</v>
      </c>
      <c r="H8" s="82">
        <v>0.2706</v>
      </c>
      <c r="I8" s="83">
        <v>0.2819</v>
      </c>
      <c r="J8" s="82">
        <v>0.0811</v>
      </c>
      <c r="K8" s="83">
        <v>0.3375</v>
      </c>
      <c r="L8" s="82">
        <v>0.2398</v>
      </c>
      <c r="M8" s="84"/>
      <c r="N8" s="68"/>
      <c r="O8" s="68"/>
      <c r="P8" s="93" t="s">
        <v>77</v>
      </c>
      <c r="Q8" s="87"/>
      <c r="R8" s="87"/>
      <c r="S8" s="87"/>
      <c r="T8" s="87"/>
      <c r="U8" s="87"/>
      <c r="V8" s="87"/>
      <c r="W8" s="88"/>
      <c r="X8" s="89"/>
      <c r="Y8" s="94"/>
      <c r="Z8" s="95"/>
      <c r="AA8" s="94"/>
      <c r="AB8" s="65"/>
      <c r="AC8" s="68"/>
    </row>
    <row r="9">
      <c r="A9" s="81">
        <v>46179</v>
      </c>
      <c r="B9" s="82">
        <v>0.0934</v>
      </c>
      <c r="C9" s="83">
        <v>0.4092</v>
      </c>
      <c r="D9" s="82">
        <v>0.2763</v>
      </c>
      <c r="E9" s="83">
        <v>0.1298</v>
      </c>
      <c r="F9" s="82">
        <v>0.2164</v>
      </c>
      <c r="G9" s="83">
        <v>0.2519</v>
      </c>
      <c r="H9" s="82">
        <v>0.1589</v>
      </c>
      <c r="I9" s="83">
        <v>0.1479</v>
      </c>
      <c r="J9" s="82">
        <v>0.178</v>
      </c>
      <c r="K9" s="83">
        <v>0.289</v>
      </c>
      <c r="L9" s="82">
        <v>0.0136</v>
      </c>
      <c r="M9" s="84"/>
      <c r="N9" s="68"/>
      <c r="O9" s="68"/>
      <c r="P9" s="93" t="s">
        <v>78</v>
      </c>
      <c r="Q9" s="87"/>
      <c r="R9" s="87"/>
      <c r="S9" s="87"/>
      <c r="T9" s="87"/>
      <c r="U9" s="87"/>
      <c r="V9" s="87"/>
      <c r="W9" s="89"/>
      <c r="X9" s="89"/>
      <c r="Y9" s="94"/>
      <c r="Z9" s="96"/>
      <c r="AA9" s="94"/>
      <c r="AB9" s="65"/>
      <c r="AC9" s="68"/>
    </row>
    <row r="10">
      <c r="A10" s="81">
        <v>46180</v>
      </c>
      <c r="B10" s="82">
        <v>-0.1889</v>
      </c>
      <c r="C10" s="83">
        <v>0.1994</v>
      </c>
      <c r="D10" s="82">
        <v>0.2836</v>
      </c>
      <c r="E10" s="83">
        <v>0.2024</v>
      </c>
      <c r="F10" s="82">
        <v>0.2153</v>
      </c>
      <c r="G10" s="83">
        <v>0.0803</v>
      </c>
      <c r="H10" s="82">
        <v>0.2546</v>
      </c>
      <c r="I10" s="83">
        <v>0.1256</v>
      </c>
      <c r="J10" s="82">
        <v>0.1233</v>
      </c>
      <c r="K10" s="83">
        <v>0.2362</v>
      </c>
      <c r="L10" s="82">
        <v>0.3724</v>
      </c>
      <c r="M10" s="84"/>
      <c r="N10" s="68"/>
      <c r="O10" s="68"/>
      <c r="P10" s="93" t="s">
        <v>79</v>
      </c>
      <c r="Q10" s="87"/>
      <c r="R10" s="87"/>
      <c r="S10" s="87"/>
      <c r="T10" s="87"/>
      <c r="U10" s="87"/>
      <c r="V10" s="87"/>
      <c r="W10" s="88"/>
      <c r="X10" s="97"/>
      <c r="Y10" s="94"/>
      <c r="Z10" s="95"/>
      <c r="AA10" s="98"/>
      <c r="AB10" s="65"/>
      <c r="AC10" s="68"/>
    </row>
    <row r="11">
      <c r="A11" s="81">
        <v>46181</v>
      </c>
      <c r="B11" s="82">
        <v>0.0336</v>
      </c>
      <c r="C11" s="83">
        <v>0.2396</v>
      </c>
      <c r="D11" s="82">
        <v>0.1179</v>
      </c>
      <c r="E11" s="83">
        <v>0.0484</v>
      </c>
      <c r="F11" s="82">
        <v>0.0936</v>
      </c>
      <c r="G11" s="83">
        <v>0.0715</v>
      </c>
      <c r="H11" s="82">
        <v>0.3077</v>
      </c>
      <c r="I11" s="83">
        <v>0.1088</v>
      </c>
      <c r="J11" s="82">
        <v>-0.1623</v>
      </c>
      <c r="K11" s="83">
        <v>0.0251</v>
      </c>
      <c r="L11" s="82">
        <v>0.2329</v>
      </c>
      <c r="M11" s="84"/>
      <c r="N11" s="68"/>
      <c r="O11" s="68"/>
      <c r="P11" s="93" t="s">
        <v>80</v>
      </c>
      <c r="Q11" s="87"/>
      <c r="R11" s="87"/>
      <c r="S11" s="87"/>
      <c r="T11" s="87"/>
      <c r="U11" s="87"/>
      <c r="V11" s="87"/>
      <c r="W11" s="88"/>
      <c r="X11" s="89"/>
      <c r="Y11" s="94"/>
      <c r="Z11" s="95"/>
      <c r="AA11" s="94"/>
      <c r="AB11" s="65"/>
      <c r="AC11" s="68"/>
    </row>
    <row r="12">
      <c r="A12" s="81">
        <v>46182</v>
      </c>
      <c r="B12" s="82">
        <v>0.0022</v>
      </c>
      <c r="C12" s="83">
        <v>0.0524</v>
      </c>
      <c r="D12" s="82">
        <v>0.3031</v>
      </c>
      <c r="E12" s="83">
        <v>0.016</v>
      </c>
      <c r="F12" s="82">
        <v>0.165</v>
      </c>
      <c r="G12" s="83">
        <v>0.1026</v>
      </c>
      <c r="H12" s="82">
        <v>0.039</v>
      </c>
      <c r="I12" s="83">
        <v>0.0745</v>
      </c>
      <c r="J12" s="82">
        <v>0.0045</v>
      </c>
      <c r="K12" s="83">
        <v>0.2518</v>
      </c>
      <c r="L12" s="82">
        <v>0.1568</v>
      </c>
      <c r="M12" s="84"/>
      <c r="N12" s="68"/>
      <c r="O12" s="68"/>
      <c r="P12" s="93" t="s">
        <v>81</v>
      </c>
      <c r="Q12" s="87"/>
      <c r="R12" s="87"/>
      <c r="S12" s="87"/>
      <c r="T12" s="87"/>
      <c r="U12" s="87"/>
      <c r="V12" s="87"/>
      <c r="W12" s="99"/>
      <c r="X12" s="99"/>
      <c r="Y12" s="100"/>
      <c r="Z12" s="100"/>
      <c r="AA12" s="100"/>
      <c r="AB12" s="68"/>
      <c r="AC12" s="68"/>
    </row>
    <row r="13">
      <c r="A13" s="81">
        <v>46183</v>
      </c>
      <c r="B13" s="82">
        <v>-0.3075</v>
      </c>
      <c r="C13" s="83">
        <v>0.2486</v>
      </c>
      <c r="D13" s="82">
        <v>0.2819</v>
      </c>
      <c r="E13" s="83">
        <v>0.1372</v>
      </c>
      <c r="F13" s="82">
        <v>0.3133</v>
      </c>
      <c r="G13" s="83">
        <v>0.3579</v>
      </c>
      <c r="H13" s="82">
        <v>0.2391</v>
      </c>
      <c r="I13" s="83">
        <v>0.1708</v>
      </c>
      <c r="J13" s="82">
        <v>0.2877</v>
      </c>
      <c r="K13" s="83">
        <v>0.2688</v>
      </c>
      <c r="L13" s="82">
        <v>0.2398</v>
      </c>
      <c r="M13" s="83">
        <v>0.3724</v>
      </c>
      <c r="N13" s="68"/>
      <c r="O13" s="68"/>
      <c r="P13" s="93" t="s">
        <v>82</v>
      </c>
      <c r="Q13" s="87"/>
      <c r="R13" s="87"/>
      <c r="S13" s="87"/>
      <c r="T13" s="87"/>
      <c r="U13" s="87"/>
      <c r="V13" s="87"/>
      <c r="W13" s="99"/>
      <c r="X13" s="99"/>
      <c r="Y13" s="100"/>
      <c r="Z13" s="100"/>
      <c r="AA13" s="100"/>
      <c r="AB13" s="68"/>
      <c r="AC13" s="68"/>
    </row>
    <row r="14">
      <c r="A14" s="81">
        <v>46184</v>
      </c>
      <c r="B14" s="82">
        <v>0.0828</v>
      </c>
      <c r="C14" s="83">
        <v>0.0905</v>
      </c>
      <c r="D14" s="82">
        <v>0.3143</v>
      </c>
      <c r="E14" s="83">
        <v>0.174</v>
      </c>
      <c r="F14" s="82">
        <v>0.2128</v>
      </c>
      <c r="G14" s="83">
        <v>0.2514</v>
      </c>
      <c r="H14" s="82">
        <v>0.3519</v>
      </c>
      <c r="I14" s="83">
        <v>0.2552</v>
      </c>
      <c r="J14" s="82">
        <v>0.1837</v>
      </c>
      <c r="K14" s="83">
        <v>0.2081</v>
      </c>
      <c r="L14" s="82">
        <v>0.3615</v>
      </c>
      <c r="M14" s="83">
        <v>-0.0391</v>
      </c>
      <c r="N14" s="68"/>
      <c r="O14" s="68"/>
      <c r="P14" s="93" t="s">
        <v>83</v>
      </c>
      <c r="Q14" s="87"/>
      <c r="R14" s="87"/>
      <c r="S14" s="87"/>
      <c r="T14" s="87"/>
      <c r="U14" s="87"/>
      <c r="V14" s="87"/>
      <c r="W14" s="99"/>
      <c r="X14" s="99"/>
      <c r="Y14" s="100"/>
      <c r="Z14" s="100"/>
      <c r="AA14" s="100"/>
      <c r="AB14" s="68"/>
      <c r="AC14" s="68"/>
    </row>
    <row r="15">
      <c r="A15" s="81">
        <v>46185</v>
      </c>
      <c r="B15" s="82">
        <v>-0.2738</v>
      </c>
      <c r="C15" s="83">
        <v>0.1859</v>
      </c>
      <c r="D15" s="82">
        <v>0.2234</v>
      </c>
      <c r="E15" s="83">
        <v>0.1341</v>
      </c>
      <c r="F15" s="82">
        <v>0.1814</v>
      </c>
      <c r="G15" s="83">
        <v>0.2316</v>
      </c>
      <c r="H15" s="82">
        <v>0.1996</v>
      </c>
      <c r="I15" s="83">
        <v>0.3231</v>
      </c>
      <c r="J15" s="82">
        <v>0.3098</v>
      </c>
      <c r="K15" s="83">
        <v>0.264</v>
      </c>
      <c r="L15" s="82">
        <v>0.2378</v>
      </c>
      <c r="M15" s="83">
        <v>0.1762</v>
      </c>
      <c r="N15" s="68"/>
      <c r="O15" s="68"/>
      <c r="P15" s="68"/>
      <c r="Q15" s="68"/>
      <c r="R15" s="68"/>
      <c r="S15" s="68"/>
      <c r="T15" s="68"/>
      <c r="U15" s="68"/>
      <c r="V15" s="101"/>
      <c r="W15" s="68"/>
      <c r="X15" s="68"/>
      <c r="Y15" s="68"/>
      <c r="Z15" s="68"/>
      <c r="AA15" s="68"/>
      <c r="AB15" s="68"/>
      <c r="AC15" s="68"/>
    </row>
    <row r="16">
      <c r="A16" s="81">
        <v>46186</v>
      </c>
      <c r="B16" s="82">
        <v>-0.1556</v>
      </c>
      <c r="C16" s="83">
        <v>0.1602</v>
      </c>
      <c r="D16" s="82">
        <v>0.124</v>
      </c>
      <c r="E16" s="83">
        <v>0.3503</v>
      </c>
      <c r="F16" s="82">
        <v>0.2522</v>
      </c>
      <c r="G16" s="83">
        <v>0.2814</v>
      </c>
      <c r="H16" s="82">
        <v>0.1114</v>
      </c>
      <c r="I16" s="83">
        <v>0.2989</v>
      </c>
      <c r="J16" s="82">
        <v>0.1154</v>
      </c>
      <c r="K16" s="83">
        <v>0.1955</v>
      </c>
      <c r="L16" s="82">
        <v>0.3236</v>
      </c>
      <c r="M16" s="83">
        <v>0.2159</v>
      </c>
      <c r="N16" s="68"/>
      <c r="O16" s="68"/>
      <c r="P16" s="102"/>
      <c r="Q16" s="68"/>
      <c r="R16" s="68"/>
      <c r="S16" s="68"/>
      <c r="T16" s="68"/>
      <c r="U16" s="68"/>
      <c r="V16" s="101"/>
      <c r="W16" s="68"/>
      <c r="X16" s="68"/>
      <c r="Y16" s="68"/>
      <c r="Z16" s="68"/>
      <c r="AA16" s="68"/>
      <c r="AB16" s="68"/>
      <c r="AC16" s="68"/>
    </row>
    <row r="17">
      <c r="A17" s="81">
        <v>46187</v>
      </c>
      <c r="B17" s="82">
        <v>0.4578</v>
      </c>
      <c r="C17" s="83">
        <v>0.1797</v>
      </c>
      <c r="D17" s="82">
        <v>-0.5326</v>
      </c>
      <c r="E17" s="83">
        <v>0.1239</v>
      </c>
      <c r="F17" s="82">
        <v>0.2463</v>
      </c>
      <c r="G17" s="83">
        <v>0.136</v>
      </c>
      <c r="H17" s="82">
        <v>0.2426</v>
      </c>
      <c r="I17" s="83">
        <v>0.2261</v>
      </c>
      <c r="J17" s="82">
        <v>-0.17</v>
      </c>
      <c r="K17" s="83">
        <v>0.309</v>
      </c>
      <c r="L17" s="82">
        <v>0.4123</v>
      </c>
      <c r="M17" s="83">
        <v>0.1585</v>
      </c>
      <c r="N17" s="68"/>
      <c r="O17" s="68"/>
      <c r="P17" s="103"/>
      <c r="Q17" s="104"/>
      <c r="R17" s="68"/>
      <c r="S17" s="68"/>
      <c r="T17" s="68"/>
      <c r="U17" s="68"/>
      <c r="V17" s="101"/>
      <c r="W17" s="68"/>
      <c r="X17" s="68"/>
      <c r="Y17" s="68"/>
      <c r="Z17" s="68"/>
      <c r="AA17" s="68"/>
      <c r="AB17" s="68"/>
      <c r="AC17" s="68"/>
    </row>
    <row r="18">
      <c r="A18" s="81">
        <v>46188</v>
      </c>
      <c r="B18" s="82">
        <v>0.0594</v>
      </c>
      <c r="C18" s="83">
        <v>0.3121</v>
      </c>
      <c r="D18" s="82">
        <v>0.0702</v>
      </c>
      <c r="E18" s="83">
        <v>0.2485</v>
      </c>
      <c r="F18" s="82">
        <v>0.1958</v>
      </c>
      <c r="G18" s="83">
        <v>0.2145</v>
      </c>
      <c r="H18" s="82">
        <v>0.2676</v>
      </c>
      <c r="I18" s="83">
        <v>0.4928</v>
      </c>
      <c r="J18" s="82">
        <v>0.4658</v>
      </c>
      <c r="K18" s="83">
        <v>0.2084</v>
      </c>
      <c r="L18" s="82">
        <v>0.5371</v>
      </c>
      <c r="M18" s="83">
        <v>0.1598</v>
      </c>
      <c r="N18" s="68"/>
      <c r="O18" s="68"/>
      <c r="P18" s="103"/>
      <c r="Q18" s="103"/>
      <c r="R18" s="68"/>
      <c r="S18" s="68"/>
      <c r="T18" s="68"/>
      <c r="U18" s="68"/>
      <c r="V18" s="105"/>
      <c r="W18" s="68"/>
      <c r="X18" s="68"/>
      <c r="Y18" s="68"/>
      <c r="Z18" s="68"/>
      <c r="AA18" s="68"/>
      <c r="AB18" s="68"/>
      <c r="AC18" s="68"/>
    </row>
    <row r="19">
      <c r="A19" s="81">
        <v>46189</v>
      </c>
      <c r="B19" s="82">
        <v>-0.2941</v>
      </c>
      <c r="C19" s="83">
        <v>0.1425</v>
      </c>
      <c r="D19" s="82">
        <v>0.3382</v>
      </c>
      <c r="E19" s="83">
        <v>0.0705</v>
      </c>
      <c r="F19" s="82">
        <v>0.1782</v>
      </c>
      <c r="G19" s="83">
        <v>0.1996</v>
      </c>
      <c r="H19" s="82">
        <v>0.2148</v>
      </c>
      <c r="I19" s="83">
        <v>0.0027</v>
      </c>
      <c r="J19" s="82">
        <v>0.0178</v>
      </c>
      <c r="K19" s="83">
        <v>0.1979</v>
      </c>
      <c r="L19" s="82">
        <v>0.2249</v>
      </c>
      <c r="M19" s="83">
        <v>0.2125</v>
      </c>
      <c r="N19" s="68"/>
      <c r="O19" s="68"/>
      <c r="P19" s="103"/>
      <c r="Q19" s="103"/>
      <c r="R19" s="68"/>
      <c r="S19" s="68"/>
      <c r="T19" s="68"/>
      <c r="U19" s="68"/>
      <c r="V19" s="101"/>
      <c r="W19" s="68"/>
      <c r="X19" s="68"/>
      <c r="Y19" s="68"/>
      <c r="Z19" s="68"/>
      <c r="AA19" s="68"/>
      <c r="AB19" s="68"/>
      <c r="AC19" s="68"/>
    </row>
    <row r="20">
      <c r="A20" s="81">
        <v>46190</v>
      </c>
      <c r="B20" s="82">
        <v>0.0671</v>
      </c>
      <c r="C20" s="83">
        <v>0.2591</v>
      </c>
      <c r="D20" s="82">
        <v>-0.1464</v>
      </c>
      <c r="E20" s="83">
        <v>0.1209</v>
      </c>
      <c r="F20" s="82">
        <v>0.1989</v>
      </c>
      <c r="G20" s="83">
        <v>0.1359</v>
      </c>
      <c r="H20" s="82">
        <v>0.2062</v>
      </c>
      <c r="I20" s="83">
        <v>0.1802</v>
      </c>
      <c r="J20" s="82">
        <v>0.2895</v>
      </c>
      <c r="K20" s="83">
        <v>0.1954</v>
      </c>
      <c r="L20" s="82">
        <v>0.2907</v>
      </c>
      <c r="M20" s="83">
        <v>0.2277</v>
      </c>
      <c r="N20" s="68"/>
      <c r="O20" s="68"/>
      <c r="P20" s="103"/>
      <c r="Q20" s="103"/>
      <c r="R20" s="68"/>
      <c r="S20" s="68"/>
      <c r="T20" s="68"/>
      <c r="U20" s="68"/>
      <c r="V20" s="105"/>
      <c r="W20" s="68"/>
      <c r="X20" s="68"/>
      <c r="Y20" s="68"/>
      <c r="Z20" s="68"/>
      <c r="AA20" s="68"/>
      <c r="AB20" s="68"/>
      <c r="AC20" s="68"/>
    </row>
    <row r="21">
      <c r="A21" s="81">
        <v>46191</v>
      </c>
      <c r="B21" s="82">
        <v>0.3244</v>
      </c>
      <c r="C21" s="83">
        <v>0.0617</v>
      </c>
      <c r="D21" s="82">
        <v>0.4927</v>
      </c>
      <c r="E21" s="83">
        <v>0.2675</v>
      </c>
      <c r="F21" s="82">
        <v>0.2174</v>
      </c>
      <c r="G21" s="83">
        <v>-0.006</v>
      </c>
      <c r="H21" s="82">
        <v>0.2171</v>
      </c>
      <c r="I21" s="83">
        <v>0.3264</v>
      </c>
      <c r="J21" s="82">
        <v>0.309</v>
      </c>
      <c r="K21" s="83">
        <v>0.2547</v>
      </c>
      <c r="L21" s="82">
        <v>0.2376</v>
      </c>
      <c r="M21" s="83">
        <v>0.1206</v>
      </c>
      <c r="N21" s="68"/>
      <c r="O21" s="68"/>
      <c r="P21" s="68"/>
      <c r="Q21" s="68"/>
      <c r="R21" s="68"/>
      <c r="S21" s="68"/>
      <c r="T21" s="68"/>
      <c r="U21" s="68"/>
      <c r="V21" s="106"/>
      <c r="W21" s="68"/>
      <c r="X21" s="68"/>
      <c r="Y21" s="68"/>
      <c r="Z21" s="68"/>
      <c r="AA21" s="68"/>
      <c r="AB21" s="68"/>
      <c r="AC21" s="68"/>
    </row>
    <row r="22">
      <c r="A22" s="81">
        <v>46192</v>
      </c>
      <c r="B22" s="82">
        <v>-0.276</v>
      </c>
      <c r="C22" s="83">
        <v>0.1122</v>
      </c>
      <c r="D22" s="82">
        <v>0.151</v>
      </c>
      <c r="E22" s="83">
        <v>0.1852</v>
      </c>
      <c r="F22" s="82">
        <v>0.2481</v>
      </c>
      <c r="G22" s="83">
        <v>0.3871</v>
      </c>
      <c r="H22" s="82">
        <v>0.3448</v>
      </c>
      <c r="I22" s="83">
        <v>0.263</v>
      </c>
      <c r="J22" s="82">
        <v>0.3629</v>
      </c>
      <c r="K22" s="83">
        <v>0.2745</v>
      </c>
      <c r="L22" s="82">
        <v>0.1422</v>
      </c>
      <c r="M22" s="83">
        <v>0.2356</v>
      </c>
      <c r="N22" s="68"/>
      <c r="O22" s="68"/>
      <c r="P22" s="107"/>
      <c r="Q22" s="68"/>
      <c r="R22" s="68"/>
      <c r="S22" s="68"/>
      <c r="T22" s="103"/>
      <c r="U22" s="68"/>
      <c r="V22" s="68"/>
      <c r="W22" s="68"/>
      <c r="X22" s="68"/>
      <c r="Y22" s="68"/>
      <c r="Z22" s="68"/>
      <c r="AA22" s="68"/>
      <c r="AB22" s="68"/>
      <c r="AC22" s="68"/>
    </row>
    <row r="23">
      <c r="A23" s="81">
        <v>46193</v>
      </c>
      <c r="B23" s="108">
        <v>0.1765</v>
      </c>
      <c r="C23" s="83">
        <v>0.3098</v>
      </c>
      <c r="D23" s="82">
        <v>0.1</v>
      </c>
      <c r="E23" s="83">
        <v>0.1642</v>
      </c>
      <c r="F23" s="82">
        <v>0.186</v>
      </c>
      <c r="G23" s="83">
        <v>0.2658</v>
      </c>
      <c r="H23" s="82">
        <v>0.2482</v>
      </c>
      <c r="I23" s="83">
        <v>0.1885</v>
      </c>
      <c r="J23" s="82">
        <v>0.093</v>
      </c>
      <c r="K23" s="83">
        <v>0.3478</v>
      </c>
      <c r="L23" s="82">
        <v>0.235</v>
      </c>
      <c r="M23" s="83">
        <v>0.2218</v>
      </c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</row>
    <row r="24">
      <c r="A24" s="81">
        <v>46194</v>
      </c>
      <c r="B24" s="108">
        <v>0.1782</v>
      </c>
      <c r="C24" s="83">
        <v>0.2117</v>
      </c>
      <c r="D24" s="82">
        <v>0.1995</v>
      </c>
      <c r="E24" s="83">
        <v>0.2435</v>
      </c>
      <c r="F24" s="82">
        <v>0.1534</v>
      </c>
      <c r="G24" s="83">
        <v>0.331</v>
      </c>
      <c r="H24" s="82">
        <v>0.2389</v>
      </c>
      <c r="I24" s="83">
        <v>0.2316</v>
      </c>
      <c r="J24" s="82">
        <v>0.2096</v>
      </c>
      <c r="K24" s="83">
        <v>0.2933</v>
      </c>
      <c r="L24" s="82">
        <v>0.1586</v>
      </c>
      <c r="M24" s="83">
        <v>0.2504</v>
      </c>
      <c r="N24" s="109"/>
      <c r="O24" s="68"/>
      <c r="P24" s="107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</row>
    <row r="25">
      <c r="A25" s="81">
        <v>46195</v>
      </c>
      <c r="B25" s="82"/>
      <c r="C25" s="83"/>
      <c r="D25" s="82"/>
      <c r="E25" s="83"/>
      <c r="F25" s="82"/>
      <c r="G25" s="83"/>
      <c r="H25" s="82"/>
      <c r="I25" s="83"/>
      <c r="J25" s="82"/>
      <c r="K25" s="83"/>
      <c r="L25" s="82"/>
      <c r="M25" s="83"/>
      <c r="N25" s="109"/>
      <c r="O25" s="68"/>
      <c r="P25" s="107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</row>
    <row r="26">
      <c r="A26" s="81">
        <v>46196</v>
      </c>
      <c r="B26" s="82"/>
      <c r="C26" s="83"/>
      <c r="D26" s="82"/>
      <c r="E26" s="83"/>
      <c r="F26" s="82"/>
      <c r="G26" s="83"/>
      <c r="H26" s="82"/>
      <c r="I26" s="83"/>
      <c r="J26" s="82"/>
      <c r="K26" s="83"/>
      <c r="L26" s="82"/>
      <c r="M26" s="83"/>
      <c r="N26" s="109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</row>
    <row r="27">
      <c r="A27" s="81">
        <v>46197</v>
      </c>
      <c r="B27" s="82"/>
      <c r="C27" s="83"/>
      <c r="D27" s="82"/>
      <c r="E27" s="83"/>
      <c r="F27" s="82"/>
      <c r="G27" s="83"/>
      <c r="H27" s="82"/>
      <c r="I27" s="83"/>
      <c r="J27" s="82"/>
      <c r="K27" s="83"/>
      <c r="L27" s="82"/>
      <c r="M27" s="83"/>
      <c r="N27" s="109"/>
      <c r="O27" s="68"/>
      <c r="P27" s="110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</row>
    <row r="28">
      <c r="A28" s="81">
        <v>46198</v>
      </c>
      <c r="B28" s="111"/>
      <c r="C28" s="83"/>
      <c r="D28" s="82"/>
      <c r="E28" s="83"/>
      <c r="F28" s="82"/>
      <c r="G28" s="83"/>
      <c r="H28" s="82"/>
      <c r="I28" s="83"/>
      <c r="J28" s="82"/>
      <c r="K28" s="83"/>
      <c r="L28" s="82"/>
      <c r="M28" s="83"/>
      <c r="N28" s="109"/>
      <c r="O28" s="68"/>
      <c r="P28" s="110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</row>
    <row r="29">
      <c r="A29" s="81">
        <v>46199</v>
      </c>
      <c r="B29" s="82"/>
      <c r="C29" s="83"/>
      <c r="D29" s="82"/>
      <c r="E29" s="83"/>
      <c r="F29" s="82"/>
      <c r="G29" s="112"/>
      <c r="H29" s="113"/>
      <c r="I29" s="112"/>
      <c r="J29" s="113"/>
      <c r="K29" s="112"/>
      <c r="L29" s="113"/>
      <c r="M29" s="112"/>
      <c r="N29" s="109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</row>
    <row r="30">
      <c r="A30" s="81">
        <v>46200</v>
      </c>
      <c r="B30" s="82"/>
      <c r="C30" s="83"/>
      <c r="D30" s="82"/>
      <c r="E30" s="83"/>
      <c r="F30" s="82"/>
      <c r="G30" s="83"/>
      <c r="H30" s="82"/>
      <c r="I30" s="83"/>
      <c r="J30" s="82"/>
      <c r="K30" s="83"/>
      <c r="L30" s="82"/>
      <c r="M30" s="83"/>
      <c r="N30" s="109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</row>
    <row r="31">
      <c r="A31" s="81">
        <v>46201</v>
      </c>
      <c r="B31" s="82"/>
      <c r="C31" s="83"/>
      <c r="D31" s="82"/>
      <c r="E31" s="83"/>
      <c r="F31" s="82"/>
      <c r="G31" s="83"/>
      <c r="H31" s="82"/>
      <c r="I31" s="83"/>
      <c r="J31" s="82"/>
      <c r="K31" s="83"/>
      <c r="L31" s="82"/>
      <c r="M31" s="83"/>
      <c r="N31" s="109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</row>
    <row customHeight="true" ht="22" r="32">
      <c r="A32" s="81">
        <v>46202</v>
      </c>
      <c r="B32" s="82"/>
      <c r="C32" s="83"/>
      <c r="D32" s="82"/>
      <c r="E32" s="83"/>
      <c r="F32" s="82"/>
      <c r="G32" s="83"/>
      <c r="H32" s="82"/>
      <c r="I32" s="83"/>
      <c r="J32" s="82"/>
      <c r="K32" s="83"/>
      <c r="L32" s="82"/>
      <c r="M32" s="83"/>
      <c r="N32" s="109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</row>
    <row customHeight="true" ht="22" r="33">
      <c r="A33" s="81">
        <v>46203</v>
      </c>
      <c r="B33" s="82"/>
      <c r="C33" s="83"/>
      <c r="D33" s="82"/>
      <c r="E33" s="83"/>
      <c r="F33" s="82"/>
      <c r="G33" s="83"/>
      <c r="H33" s="82"/>
      <c r="I33" s="83"/>
      <c r="J33" s="82"/>
      <c r="K33" s="83"/>
      <c r="L33" s="82"/>
      <c r="M33" s="83"/>
      <c r="N33" s="109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</row>
    <row customHeight="true" ht="22" r="34">
      <c r="A34" s="81"/>
      <c r="B34" s="82"/>
      <c r="C34" s="83"/>
      <c r="D34" s="82"/>
      <c r="E34" s="83"/>
      <c r="F34" s="82"/>
      <c r="G34" s="83"/>
      <c r="H34" s="82"/>
      <c r="I34" s="83"/>
      <c r="J34" s="82"/>
      <c r="K34" s="83"/>
      <c r="L34" s="82"/>
      <c r="M34" s="83"/>
      <c r="N34" s="109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</row>
    <row r="35">
      <c r="A35" s="114" t="s">
        <v>84</v>
      </c>
      <c r="B35" s="115">
        <f>AVERAGE(B4:B34)</f>
      </c>
      <c r="C35" s="115">
        <f>AVERAGE(C4:C34)</f>
      </c>
      <c r="D35" s="115">
        <f>AVERAGE(D4:D34)</f>
      </c>
      <c r="E35" s="115">
        <f>AVERAGE(E4:E34)</f>
      </c>
      <c r="F35" s="115">
        <f>AVERAGE(F4:F34)</f>
      </c>
      <c r="G35" s="115">
        <f>AVERAGE(G4:G34)</f>
      </c>
      <c r="H35" s="115">
        <f>AVERAGE(H4:H34)</f>
      </c>
      <c r="I35" s="115">
        <f>AVERAGE(I4:I34)</f>
      </c>
      <c r="J35" s="115">
        <f>AVERAGE(J4:J34)</f>
      </c>
      <c r="K35" s="115">
        <f>AVERAGE(K4:K34)</f>
      </c>
      <c r="L35" s="115">
        <f>AVERAGE(L4:L34)</f>
      </c>
      <c r="M35" s="116">
        <f>AVERAGE(M4:M34)</f>
      </c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</row>
    <row r="36">
      <c r="A36" s="68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</row>
    <row r="37">
      <c r="A37" s="68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</row>
    <row r="40">
      <c r="A40" s="65"/>
      <c r="B40" s="65"/>
      <c r="C40" s="101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</row>
    <row r="47">
      <c r="A47" s="68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</row>
    <row r="48">
      <c r="A48" s="68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</row>
    <row r="49">
      <c r="A49" s="68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</row>
    <row r="50">
      <c r="A50" s="68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</row>
    <row r="51">
      <c r="A51" s="68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</row>
    <row r="52">
      <c r="A52" s="68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</row>
    <row r="53">
      <c r="A53" s="68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</row>
    <row r="54">
      <c r="A54" s="68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</row>
    <row r="55">
      <c r="A55" s="68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</row>
    <row r="56">
      <c r="A56" s="68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</row>
    <row r="59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</row>
    <row r="6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</row>
    <row r="62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</row>
    <row r="64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</row>
    <row r="6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</row>
    <row r="70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</row>
    <row r="7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</row>
  </sheetData>
  <mergeCells>
    <mergeCell ref="B2:J2"/>
    <mergeCell ref="P2:AA2"/>
  </mergeCells>
  <conditionalFormatting sqref="B4:M34">
    <cfRule dxfId="1" operator="lessThan" priority="2" stopIfTrue="true" type="cellIs">
      <formula>0.18</formula>
    </cfRule>
  </conditionalFormatting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9"/>
  </cols>
  <sheetData>
    <row r="1">
      <c r="A1" s="117"/>
      <c r="B1" s="118" t="s">
        <v>85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9"/>
      <c r="O1" s="120"/>
      <c r="P1" s="120"/>
      <c r="Q1" s="120"/>
      <c r="R1" s="120"/>
      <c r="S1" s="120"/>
      <c r="T1" s="120"/>
      <c r="U1" s="120"/>
      <c r="V1" s="120"/>
      <c r="W1" s="120"/>
    </row>
    <row r="2">
      <c r="A2" s="117" t="s">
        <v>86</v>
      </c>
      <c r="B2" s="121" t="s">
        <v>87</v>
      </c>
      <c r="C2" s="122" t="s">
        <v>88</v>
      </c>
      <c r="D2" s="121" t="s">
        <v>89</v>
      </c>
      <c r="E2" s="122" t="s">
        <v>90</v>
      </c>
      <c r="F2" s="121" t="s">
        <v>91</v>
      </c>
      <c r="G2" s="122" t="s">
        <v>92</v>
      </c>
      <c r="H2" s="121" t="s">
        <v>93</v>
      </c>
      <c r="I2" s="122" t="s">
        <v>94</v>
      </c>
      <c r="J2" s="121" t="s">
        <v>95</v>
      </c>
      <c r="K2" s="123" t="s">
        <v>96</v>
      </c>
      <c r="L2" s="124" t="s">
        <v>97</v>
      </c>
      <c r="M2" s="121" t="s">
        <v>98</v>
      </c>
      <c r="N2" s="125" t="s">
        <v>99</v>
      </c>
      <c r="O2" s="120"/>
      <c r="P2" s="120"/>
      <c r="Q2" s="120"/>
      <c r="R2" s="120"/>
      <c r="S2" s="120"/>
      <c r="T2" s="120"/>
      <c r="U2" s="120"/>
      <c r="V2" s="120"/>
      <c r="W2" s="120"/>
    </row>
    <row r="3">
      <c r="A3" s="126">
        <v>46142</v>
      </c>
      <c r="B3" s="127">
        <v>4144.909</v>
      </c>
      <c r="C3" s="128">
        <v>12551.272</v>
      </c>
      <c r="D3" s="127">
        <v>5515.272</v>
      </c>
      <c r="E3" s="129">
        <v>30007.454</v>
      </c>
      <c r="F3" s="127">
        <v>115829.818</v>
      </c>
      <c r="G3" s="129">
        <v>50203.636</v>
      </c>
      <c r="H3" s="127">
        <v>38060.545</v>
      </c>
      <c r="I3" s="128">
        <v>28435.454</v>
      </c>
      <c r="J3" s="127">
        <v>13914.909</v>
      </c>
      <c r="K3" s="130"/>
      <c r="L3" s="128"/>
      <c r="M3" s="130"/>
      <c r="N3" s="119">
        <f t="shared" ref="N3:N65" si="0">SUM(B3:M3)</f>
      </c>
      <c r="O3" s="120"/>
      <c r="P3" s="120"/>
      <c r="Q3" s="120"/>
      <c r="R3" s="120"/>
      <c r="S3" s="120"/>
      <c r="T3" s="120"/>
      <c r="U3" s="120"/>
      <c r="V3" s="120"/>
      <c r="W3" s="120"/>
    </row>
    <row r="4">
      <c r="A4" s="126">
        <v>46143</v>
      </c>
      <c r="B4" s="131">
        <v>4209.454</v>
      </c>
      <c r="C4" s="132">
        <v>15897.454</v>
      </c>
      <c r="D4" s="131">
        <v>6810.363</v>
      </c>
      <c r="E4" s="132">
        <v>32823.818</v>
      </c>
      <c r="F4" s="131">
        <v>107730.909</v>
      </c>
      <c r="G4" s="132">
        <v>48950.727</v>
      </c>
      <c r="H4" s="131">
        <v>47591.818</v>
      </c>
      <c r="I4" s="132">
        <v>30548.727</v>
      </c>
      <c r="J4" s="131">
        <v>14196.545</v>
      </c>
      <c r="K4" s="133"/>
      <c r="L4" s="132">
        <v>1122.545</v>
      </c>
      <c r="M4" s="133"/>
      <c r="N4" s="119">
        <f t="shared" si="0"/>
      </c>
      <c r="O4" s="120"/>
      <c r="P4" s="120"/>
      <c r="Q4" s="120"/>
      <c r="R4" s="120"/>
      <c r="S4" s="120"/>
      <c r="T4" s="120"/>
      <c r="U4" s="120"/>
      <c r="V4" s="120"/>
      <c r="W4" s="120"/>
    </row>
    <row r="5">
      <c r="A5" s="126">
        <v>46144</v>
      </c>
      <c r="B5" s="134">
        <v>5079.999</v>
      </c>
      <c r="C5" s="135">
        <v>18849.09</v>
      </c>
      <c r="D5" s="134">
        <v>6945.636</v>
      </c>
      <c r="E5" s="135">
        <v>26189.09</v>
      </c>
      <c r="F5" s="134">
        <v>102601.272</v>
      </c>
      <c r="G5" s="135">
        <v>41866.363</v>
      </c>
      <c r="H5" s="134">
        <v>37105.454</v>
      </c>
      <c r="I5" s="135">
        <v>30273.272</v>
      </c>
      <c r="J5" s="134">
        <v>14900.545</v>
      </c>
      <c r="K5" s="136"/>
      <c r="L5" s="135">
        <v>2799.272</v>
      </c>
      <c r="M5" s="136"/>
      <c r="N5" s="119">
        <f t="shared" si="0"/>
      </c>
      <c r="O5" s="137" t="s">
        <v>100</v>
      </c>
      <c r="P5" s="120"/>
      <c r="Q5" s="120"/>
      <c r="R5" s="120"/>
      <c r="S5" s="120"/>
      <c r="T5" s="120"/>
      <c r="U5" s="120"/>
      <c r="V5" s="120"/>
      <c r="W5" s="120"/>
    </row>
    <row r="6">
      <c r="A6" s="126">
        <v>46145</v>
      </c>
      <c r="B6" s="134">
        <v>5974.363</v>
      </c>
      <c r="C6" s="135">
        <v>9126.363</v>
      </c>
      <c r="D6" s="134">
        <v>2880.181</v>
      </c>
      <c r="E6" s="135">
        <v>22913.272</v>
      </c>
      <c r="F6" s="134">
        <v>76159.818</v>
      </c>
      <c r="G6" s="135">
        <v>37925.818</v>
      </c>
      <c r="H6" s="134">
        <v>28008.363</v>
      </c>
      <c r="I6" s="135">
        <v>26242.545</v>
      </c>
      <c r="J6" s="134">
        <v>14618.363</v>
      </c>
      <c r="K6" s="134">
        <v>50.727</v>
      </c>
      <c r="L6" s="135">
        <v>2799.999</v>
      </c>
      <c r="M6" s="136"/>
      <c r="N6" s="119">
        <f t="shared" si="0"/>
      </c>
      <c r="O6" s="120"/>
      <c r="P6" s="120"/>
      <c r="Q6" s="120"/>
      <c r="R6" s="120"/>
      <c r="S6" s="120"/>
      <c r="T6" s="120"/>
      <c r="U6" s="120"/>
      <c r="V6" s="120"/>
      <c r="W6" s="120"/>
    </row>
    <row r="7">
      <c r="A7" s="126">
        <v>46146</v>
      </c>
      <c r="B7" s="134">
        <v>3765.999</v>
      </c>
      <c r="C7" s="135">
        <v>15258.545</v>
      </c>
      <c r="D7" s="134">
        <v>4783.272</v>
      </c>
      <c r="E7" s="135">
        <v>29661.818</v>
      </c>
      <c r="F7" s="134">
        <v>104199.636</v>
      </c>
      <c r="G7" s="135">
        <v>41764.545</v>
      </c>
      <c r="H7" s="134">
        <v>35617.999</v>
      </c>
      <c r="I7" s="135">
        <v>34055.999</v>
      </c>
      <c r="J7" s="134">
        <v>13221.272</v>
      </c>
      <c r="K7" s="134">
        <v>12.727</v>
      </c>
      <c r="L7" s="135">
        <v>7661.454</v>
      </c>
      <c r="M7" s="136"/>
      <c r="N7" s="119">
        <f t="shared" si="0"/>
      </c>
      <c r="O7" s="120"/>
      <c r="P7" s="120"/>
      <c r="Q7" s="120"/>
      <c r="R7" s="120"/>
      <c r="S7" s="120"/>
      <c r="T7" s="120"/>
      <c r="U7" s="120"/>
      <c r="V7" s="120"/>
      <c r="W7" s="120"/>
    </row>
    <row r="8">
      <c r="A8" s="126">
        <v>46147</v>
      </c>
      <c r="B8" s="134">
        <v>2821.818</v>
      </c>
      <c r="C8" s="135">
        <v>13734.727</v>
      </c>
      <c r="D8" s="134">
        <v>4787.454</v>
      </c>
      <c r="E8" s="135">
        <v>29261.454</v>
      </c>
      <c r="F8" s="134">
        <v>116309.999</v>
      </c>
      <c r="G8" s="135">
        <v>44511.272</v>
      </c>
      <c r="H8" s="134">
        <v>41676.909</v>
      </c>
      <c r="I8" s="135">
        <v>41623.636</v>
      </c>
      <c r="J8" s="134">
        <v>12612.727</v>
      </c>
      <c r="K8" s="134">
        <v>323.999</v>
      </c>
      <c r="L8" s="135">
        <v>12062.727</v>
      </c>
      <c r="M8" s="136"/>
      <c r="N8" s="119">
        <f t="shared" si="0"/>
      </c>
      <c r="O8" s="120"/>
      <c r="P8" s="120"/>
      <c r="Q8" s="120"/>
      <c r="R8" s="120"/>
      <c r="S8" s="120"/>
      <c r="T8" s="120"/>
      <c r="U8" s="120"/>
      <c r="V8" s="120"/>
      <c r="W8" s="120"/>
    </row>
    <row r="9">
      <c r="A9" s="126">
        <v>46148</v>
      </c>
      <c r="B9" s="134">
        <v>4058.727</v>
      </c>
      <c r="C9" s="135">
        <v>14398.727</v>
      </c>
      <c r="D9" s="134">
        <v>3754.363</v>
      </c>
      <c r="E9" s="135">
        <v>31366.363</v>
      </c>
      <c r="F9" s="134">
        <v>124649.999</v>
      </c>
      <c r="G9" s="135">
        <v>36913.636</v>
      </c>
      <c r="H9" s="134">
        <v>41670.727</v>
      </c>
      <c r="I9" s="135">
        <v>35175.09</v>
      </c>
      <c r="J9" s="134">
        <v>15976.727</v>
      </c>
      <c r="K9" s="134">
        <v>1148.363</v>
      </c>
      <c r="L9" s="135">
        <v>13730.909</v>
      </c>
      <c r="M9" s="136"/>
      <c r="N9" s="119">
        <f t="shared" si="0"/>
      </c>
      <c r="O9" s="120"/>
      <c r="P9" s="120"/>
      <c r="Q9" s="120"/>
      <c r="R9" s="120"/>
      <c r="S9" s="120"/>
      <c r="T9" s="120"/>
      <c r="U9" s="120"/>
      <c r="V9" s="120"/>
      <c r="W9" s="120"/>
    </row>
    <row r="10">
      <c r="A10" s="126">
        <v>46149</v>
      </c>
      <c r="B10" s="134">
        <v>1953.454</v>
      </c>
      <c r="C10" s="135">
        <v>15032.181</v>
      </c>
      <c r="D10" s="134">
        <v>7138.727</v>
      </c>
      <c r="E10" s="135">
        <v>29919.09</v>
      </c>
      <c r="F10" s="134">
        <v>133126.363</v>
      </c>
      <c r="G10" s="135">
        <v>42646.545</v>
      </c>
      <c r="H10" s="134">
        <v>50305.999</v>
      </c>
      <c r="I10" s="135">
        <v>46342.363</v>
      </c>
      <c r="J10" s="134">
        <v>15745.636</v>
      </c>
      <c r="K10" s="134">
        <v>1756.363</v>
      </c>
      <c r="L10" s="135">
        <v>14819.999</v>
      </c>
      <c r="M10" s="136"/>
      <c r="N10" s="119">
        <f t="shared" si="0"/>
      </c>
      <c r="O10" s="120"/>
      <c r="P10" s="120"/>
      <c r="Q10" s="120"/>
      <c r="R10" s="120"/>
      <c r="S10" s="120"/>
      <c r="T10" s="120"/>
      <c r="U10" s="120"/>
      <c r="V10" s="120"/>
      <c r="W10" s="120"/>
    </row>
    <row r="11">
      <c r="A11" s="126">
        <v>46150</v>
      </c>
      <c r="B11" s="134">
        <v>3945.272</v>
      </c>
      <c r="C11" s="135">
        <v>13742.181</v>
      </c>
      <c r="D11" s="134">
        <v>8221.272</v>
      </c>
      <c r="E11" s="135">
        <v>29355.999</v>
      </c>
      <c r="F11" s="134">
        <v>131574.363</v>
      </c>
      <c r="G11" s="135">
        <v>41151.999</v>
      </c>
      <c r="H11" s="134">
        <v>56243.999</v>
      </c>
      <c r="I11" s="135">
        <v>60635.999</v>
      </c>
      <c r="J11" s="134">
        <v>17987.272</v>
      </c>
      <c r="K11" s="134">
        <v>3540.727</v>
      </c>
      <c r="L11" s="135">
        <v>19884.545</v>
      </c>
      <c r="M11" s="136"/>
      <c r="N11" s="119">
        <f t="shared" si="0"/>
      </c>
      <c r="O11" s="120"/>
      <c r="P11" s="120"/>
      <c r="Q11" s="120"/>
      <c r="R11" s="120"/>
      <c r="S11" s="120"/>
      <c r="T11" s="120"/>
      <c r="U11" s="120"/>
      <c r="V11" s="120"/>
      <c r="W11" s="120"/>
    </row>
    <row r="12">
      <c r="A12" s="126">
        <v>46151</v>
      </c>
      <c r="B12" s="134">
        <v>3705.272</v>
      </c>
      <c r="C12" s="135">
        <v>15279.999</v>
      </c>
      <c r="D12" s="134">
        <v>7695.454</v>
      </c>
      <c r="E12" s="135">
        <v>27547.818</v>
      </c>
      <c r="F12" s="134">
        <v>114110.363</v>
      </c>
      <c r="G12" s="135">
        <v>43698.181</v>
      </c>
      <c r="H12" s="134">
        <v>42186.909</v>
      </c>
      <c r="I12" s="135">
        <v>53497.636</v>
      </c>
      <c r="J12" s="134">
        <v>16585.09</v>
      </c>
      <c r="K12" s="134">
        <v>5315.636</v>
      </c>
      <c r="L12" s="135">
        <v>17936.727</v>
      </c>
      <c r="M12" s="136"/>
      <c r="N12" s="119">
        <f t="shared" si="0"/>
      </c>
      <c r="O12" s="120"/>
      <c r="P12" s="120"/>
      <c r="Q12" s="120"/>
      <c r="R12" s="120"/>
      <c r="S12" s="120"/>
      <c r="T12" s="120"/>
      <c r="U12" s="120"/>
      <c r="V12" s="120"/>
      <c r="W12" s="120"/>
    </row>
    <row r="13">
      <c r="A13" s="126">
        <v>46152</v>
      </c>
      <c r="B13" s="134">
        <v>2521.09</v>
      </c>
      <c r="C13" s="135">
        <v>11341.999</v>
      </c>
      <c r="D13" s="134">
        <v>8455.454</v>
      </c>
      <c r="E13" s="135">
        <v>26468.181</v>
      </c>
      <c r="F13" s="134">
        <v>95018.363</v>
      </c>
      <c r="G13" s="135">
        <v>34041.272</v>
      </c>
      <c r="H13" s="134">
        <v>35631.818</v>
      </c>
      <c r="I13" s="135">
        <v>43333.272</v>
      </c>
      <c r="J13" s="134">
        <v>13676.909</v>
      </c>
      <c r="K13" s="134">
        <v>4957.09</v>
      </c>
      <c r="L13" s="135">
        <v>12930.909</v>
      </c>
      <c r="M13" s="136"/>
      <c r="N13" s="119">
        <f t="shared" si="0"/>
      </c>
      <c r="O13" s="120"/>
      <c r="P13" s="120"/>
      <c r="Q13" s="120"/>
      <c r="R13" s="120"/>
      <c r="S13" s="120"/>
      <c r="T13" s="120"/>
      <c r="U13" s="120"/>
      <c r="V13" s="120"/>
      <c r="W13" s="120"/>
    </row>
    <row r="14">
      <c r="A14" s="126">
        <v>46153</v>
      </c>
      <c r="B14" s="134">
        <v>3463.272</v>
      </c>
      <c r="C14" s="135">
        <v>11566.363</v>
      </c>
      <c r="D14" s="134">
        <v>8046</v>
      </c>
      <c r="E14" s="135">
        <v>30180.545</v>
      </c>
      <c r="F14" s="134">
        <v>106457.09</v>
      </c>
      <c r="G14" s="135">
        <v>38405.09</v>
      </c>
      <c r="H14" s="134">
        <v>37341.09</v>
      </c>
      <c r="I14" s="135">
        <v>59341.09</v>
      </c>
      <c r="J14" s="134">
        <v>15024.909</v>
      </c>
      <c r="K14" s="134">
        <v>6352.181</v>
      </c>
      <c r="L14" s="135">
        <v>13491.818</v>
      </c>
      <c r="M14" s="136"/>
      <c r="N14" s="119">
        <f t="shared" si="0"/>
      </c>
      <c r="O14" s="120"/>
      <c r="P14" s="120"/>
      <c r="Q14" s="120"/>
      <c r="R14" s="120"/>
      <c r="S14" s="120"/>
      <c r="T14" s="120"/>
      <c r="U14" s="120"/>
      <c r="V14" s="120"/>
      <c r="W14" s="120"/>
    </row>
    <row r="15">
      <c r="A15" s="126">
        <v>46154</v>
      </c>
      <c r="B15" s="134">
        <v>2601.09</v>
      </c>
      <c r="C15" s="135">
        <v>10204.363</v>
      </c>
      <c r="D15" s="134">
        <v>6452.727</v>
      </c>
      <c r="E15" s="135">
        <v>22110.545</v>
      </c>
      <c r="F15" s="134">
        <v>99408.909</v>
      </c>
      <c r="G15" s="135">
        <v>36154.181</v>
      </c>
      <c r="H15" s="134">
        <v>38359.09</v>
      </c>
      <c r="I15" s="135">
        <v>57086.181</v>
      </c>
      <c r="J15" s="134">
        <v>14165.999</v>
      </c>
      <c r="K15" s="134">
        <v>6873.818</v>
      </c>
      <c r="L15" s="135">
        <v>18999.272</v>
      </c>
      <c r="M15" s="136"/>
      <c r="N15" s="119">
        <f t="shared" si="0"/>
      </c>
      <c r="O15" s="120"/>
      <c r="P15" s="120"/>
      <c r="Q15" s="120"/>
      <c r="R15" s="120"/>
      <c r="S15" s="120"/>
      <c r="T15" s="120"/>
      <c r="U15" s="120"/>
      <c r="V15" s="120"/>
      <c r="W15" s="120"/>
    </row>
    <row r="16">
      <c r="A16" s="126">
        <v>46155</v>
      </c>
      <c r="B16" s="134">
        <v>1191.272</v>
      </c>
      <c r="C16" s="135">
        <v>11673.09</v>
      </c>
      <c r="D16" s="134">
        <v>6933.636</v>
      </c>
      <c r="E16" s="135">
        <v>20288.181</v>
      </c>
      <c r="F16" s="134">
        <v>81191.454</v>
      </c>
      <c r="G16" s="135">
        <v>40876.363</v>
      </c>
      <c r="H16" s="134">
        <v>36473.09</v>
      </c>
      <c r="I16" s="135">
        <v>56587.09</v>
      </c>
      <c r="J16" s="134">
        <v>13217.09</v>
      </c>
      <c r="K16" s="134">
        <v>7027.272</v>
      </c>
      <c r="L16" s="135">
        <v>17361.818</v>
      </c>
      <c r="M16" s="136"/>
      <c r="N16" s="119">
        <f t="shared" si="0"/>
      </c>
      <c r="O16" s="120"/>
      <c r="P16" s="120"/>
      <c r="Q16" s="120"/>
      <c r="R16" s="120"/>
      <c r="S16" s="120"/>
      <c r="T16" s="120"/>
      <c r="U16" s="120"/>
      <c r="V16" s="120"/>
      <c r="W16" s="120"/>
    </row>
    <row r="17">
      <c r="A17" s="126">
        <v>46156</v>
      </c>
      <c r="B17" s="134">
        <v>1002.909</v>
      </c>
      <c r="C17" s="135">
        <v>9336.181</v>
      </c>
      <c r="D17" s="134">
        <v>3484.545</v>
      </c>
      <c r="E17" s="135">
        <v>17628.909</v>
      </c>
      <c r="F17" s="134">
        <v>92261.636</v>
      </c>
      <c r="G17" s="135">
        <v>32385.636</v>
      </c>
      <c r="H17" s="134">
        <v>26768.181</v>
      </c>
      <c r="I17" s="135">
        <v>54825.818</v>
      </c>
      <c r="J17" s="134">
        <v>16226.909</v>
      </c>
      <c r="K17" s="134">
        <v>6089.454</v>
      </c>
      <c r="L17" s="135">
        <v>15860.909</v>
      </c>
      <c r="M17" s="136"/>
      <c r="N17" s="119">
        <f t="shared" si="0"/>
      </c>
      <c r="O17" s="120"/>
      <c r="P17" s="120"/>
      <c r="Q17" s="120"/>
      <c r="R17" s="120"/>
      <c r="S17" s="120"/>
      <c r="T17" s="120"/>
      <c r="U17" s="120"/>
      <c r="V17" s="120"/>
      <c r="W17" s="120"/>
    </row>
    <row r="18">
      <c r="A18" s="126">
        <v>46157</v>
      </c>
      <c r="B18" s="134">
        <v>1015.272</v>
      </c>
      <c r="C18" s="135">
        <v>12490.363</v>
      </c>
      <c r="D18" s="134">
        <v>4329.09</v>
      </c>
      <c r="E18" s="135">
        <v>22641.818</v>
      </c>
      <c r="F18" s="134">
        <v>97751.636</v>
      </c>
      <c r="G18" s="135">
        <v>39450.545</v>
      </c>
      <c r="H18" s="134">
        <v>36600.545</v>
      </c>
      <c r="I18" s="135">
        <v>67477.818</v>
      </c>
      <c r="J18" s="134">
        <v>18671.636</v>
      </c>
      <c r="K18" s="134">
        <v>9430.909</v>
      </c>
      <c r="L18" s="135">
        <v>16113.999</v>
      </c>
      <c r="M18" s="136"/>
      <c r="N18" s="119">
        <f t="shared" si="0"/>
      </c>
      <c r="O18" s="120"/>
      <c r="P18" s="120"/>
      <c r="Q18" s="120"/>
      <c r="R18" s="120"/>
      <c r="S18" s="120"/>
      <c r="T18" s="120"/>
      <c r="U18" s="120"/>
      <c r="V18" s="120"/>
      <c r="W18" s="120"/>
    </row>
    <row r="19">
      <c r="A19" s="126">
        <v>46158</v>
      </c>
      <c r="B19" s="134">
        <v>1345.636</v>
      </c>
      <c r="C19" s="135">
        <v>9723.636</v>
      </c>
      <c r="D19" s="134">
        <v>6787.818</v>
      </c>
      <c r="E19" s="135">
        <v>23281.454</v>
      </c>
      <c r="F19" s="134">
        <v>95563.272</v>
      </c>
      <c r="G19" s="135">
        <v>33318.909</v>
      </c>
      <c r="H19" s="134">
        <v>33470.545</v>
      </c>
      <c r="I19" s="135">
        <v>62399.999</v>
      </c>
      <c r="J19" s="134">
        <v>22866.181</v>
      </c>
      <c r="K19" s="134">
        <v>9654.545</v>
      </c>
      <c r="L19" s="135">
        <v>16611.454</v>
      </c>
      <c r="M19" s="136"/>
      <c r="N19" s="119">
        <f t="shared" si="0"/>
      </c>
      <c r="O19" s="120"/>
      <c r="P19" s="120"/>
      <c r="Q19" s="120"/>
      <c r="R19" s="120"/>
      <c r="S19" s="120"/>
      <c r="T19" s="120"/>
      <c r="U19" s="120"/>
      <c r="V19" s="120"/>
      <c r="W19" s="120"/>
    </row>
    <row r="20">
      <c r="A20" s="126">
        <v>46159</v>
      </c>
      <c r="B20" s="134">
        <v>1609.636</v>
      </c>
      <c r="C20" s="135">
        <v>7631.999</v>
      </c>
      <c r="D20" s="134">
        <v>5255.818</v>
      </c>
      <c r="E20" s="135">
        <v>19516.363</v>
      </c>
      <c r="F20" s="134">
        <v>72916.727</v>
      </c>
      <c r="G20" s="135">
        <v>30100.545</v>
      </c>
      <c r="H20" s="134">
        <v>27491.999</v>
      </c>
      <c r="I20" s="135">
        <v>48141.272</v>
      </c>
      <c r="J20" s="134">
        <v>28831.454</v>
      </c>
      <c r="K20" s="134">
        <v>7896.909</v>
      </c>
      <c r="L20" s="135">
        <v>13232.909</v>
      </c>
      <c r="M20" s="136"/>
      <c r="N20" s="119">
        <f t="shared" si="0"/>
      </c>
      <c r="O20" s="120"/>
      <c r="P20" s="120"/>
      <c r="Q20" s="120"/>
      <c r="R20" s="120"/>
      <c r="S20" s="120"/>
      <c r="T20" s="120"/>
      <c r="U20" s="120"/>
      <c r="V20" s="120"/>
      <c r="W20" s="120"/>
    </row>
    <row r="21">
      <c r="A21" s="126">
        <v>46160</v>
      </c>
      <c r="B21" s="134">
        <v>1929.636</v>
      </c>
      <c r="C21" s="135">
        <v>10014.545</v>
      </c>
      <c r="D21" s="134">
        <v>4719.636</v>
      </c>
      <c r="E21" s="135">
        <v>22478.545</v>
      </c>
      <c r="F21" s="134">
        <v>93739.818</v>
      </c>
      <c r="G21" s="135">
        <v>30032.363</v>
      </c>
      <c r="H21" s="134">
        <v>26186.545</v>
      </c>
      <c r="I21" s="135">
        <v>81000.363</v>
      </c>
      <c r="J21" s="134">
        <v>29910.909</v>
      </c>
      <c r="K21" s="134">
        <v>8325.818</v>
      </c>
      <c r="L21" s="135">
        <v>14872.909</v>
      </c>
      <c r="M21" s="136"/>
      <c r="N21" s="119">
        <f t="shared" si="0"/>
      </c>
      <c r="O21" s="120"/>
      <c r="P21" s="120"/>
      <c r="Q21" s="120"/>
      <c r="R21" s="120"/>
      <c r="S21" s="120"/>
      <c r="T21" s="120"/>
      <c r="U21" s="120"/>
      <c r="V21" s="120"/>
      <c r="W21" s="120"/>
    </row>
    <row r="22">
      <c r="A22" s="126">
        <v>46161</v>
      </c>
      <c r="B22" s="134">
        <v>984.545</v>
      </c>
      <c r="C22" s="135">
        <v>9183.09</v>
      </c>
      <c r="D22" s="127">
        <v>4642.363</v>
      </c>
      <c r="E22" s="128">
        <v>20212.181</v>
      </c>
      <c r="F22" s="134">
        <v>73352.363</v>
      </c>
      <c r="G22" s="128">
        <v>33457.09</v>
      </c>
      <c r="H22" s="134">
        <v>28937.454</v>
      </c>
      <c r="I22" s="128">
        <v>80366.727</v>
      </c>
      <c r="J22" s="127">
        <v>33778.727</v>
      </c>
      <c r="K22" s="127">
        <v>7720.727</v>
      </c>
      <c r="L22" s="128">
        <v>16204.545</v>
      </c>
      <c r="M22" s="136"/>
      <c r="N22" s="119">
        <f t="shared" si="0"/>
      </c>
      <c r="O22" s="120"/>
      <c r="P22" s="120"/>
      <c r="Q22" s="120"/>
      <c r="R22" s="120"/>
      <c r="S22" s="120"/>
      <c r="T22" s="120"/>
      <c r="U22" s="120"/>
      <c r="V22" s="120"/>
      <c r="W22" s="120"/>
    </row>
    <row r="23">
      <c r="A23" s="126">
        <v>46162</v>
      </c>
      <c r="B23" s="134">
        <v>691.272</v>
      </c>
      <c r="C23" s="135">
        <v>9491.999</v>
      </c>
      <c r="D23" s="134">
        <v>6833.272</v>
      </c>
      <c r="E23" s="135">
        <v>27198.545</v>
      </c>
      <c r="F23" s="134">
        <v>93291.999</v>
      </c>
      <c r="G23" s="135">
        <v>34438.727</v>
      </c>
      <c r="H23" s="134">
        <v>32461.272</v>
      </c>
      <c r="I23" s="135">
        <v>60694.545</v>
      </c>
      <c r="J23" s="134">
        <v>30744.363</v>
      </c>
      <c r="K23" s="134">
        <v>12373.636</v>
      </c>
      <c r="L23" s="135">
        <v>16947.272</v>
      </c>
      <c r="M23" s="136"/>
      <c r="N23" s="119">
        <f t="shared" si="0"/>
      </c>
      <c r="O23" s="120"/>
      <c r="P23" s="120"/>
      <c r="Q23" s="120"/>
      <c r="R23" s="120"/>
      <c r="S23" s="120"/>
      <c r="T23" s="120"/>
      <c r="U23" s="120"/>
      <c r="V23" s="120"/>
      <c r="W23" s="120"/>
    </row>
    <row r="24">
      <c r="A24" s="126">
        <v>46163</v>
      </c>
      <c r="B24" s="127">
        <v>837.999</v>
      </c>
      <c r="C24" s="128">
        <v>6409.636</v>
      </c>
      <c r="D24" s="127">
        <v>5633.636</v>
      </c>
      <c r="E24" s="128">
        <v>19788.545</v>
      </c>
      <c r="F24" s="134">
        <v>74162.545</v>
      </c>
      <c r="G24" s="135">
        <v>22935.636</v>
      </c>
      <c r="H24" s="127">
        <v>22161.272</v>
      </c>
      <c r="I24" s="128">
        <v>41106.909</v>
      </c>
      <c r="J24" s="134">
        <v>25877.818</v>
      </c>
      <c r="K24" s="127">
        <v>9851.272</v>
      </c>
      <c r="L24" s="128">
        <v>8880.545</v>
      </c>
      <c r="M24" s="136"/>
      <c r="N24" s="119">
        <f t="shared" si="0"/>
      </c>
      <c r="O24" s="120"/>
      <c r="P24" s="120"/>
      <c r="Q24" s="120"/>
      <c r="R24" s="120"/>
      <c r="S24" s="120"/>
      <c r="T24" s="120"/>
      <c r="U24" s="120"/>
      <c r="V24" s="120"/>
      <c r="W24" s="120"/>
    </row>
    <row r="25">
      <c r="A25" s="126">
        <v>46164</v>
      </c>
      <c r="B25" s="134">
        <v>969.636</v>
      </c>
      <c r="C25" s="135">
        <v>6664.545</v>
      </c>
      <c r="D25" s="134">
        <v>7693.454</v>
      </c>
      <c r="E25" s="135">
        <v>28121.09</v>
      </c>
      <c r="F25" s="134">
        <v>91166.545</v>
      </c>
      <c r="G25" s="135">
        <v>26017.454</v>
      </c>
      <c r="H25" s="134">
        <v>28649.09</v>
      </c>
      <c r="I25" s="135">
        <v>55523.636</v>
      </c>
      <c r="J25" s="134">
        <v>29501.636</v>
      </c>
      <c r="K25" s="134">
        <v>12107.454</v>
      </c>
      <c r="L25" s="135">
        <v>9318.909</v>
      </c>
      <c r="M25" s="136"/>
      <c r="N25" s="119">
        <f t="shared" si="0"/>
      </c>
      <c r="O25" s="120"/>
      <c r="P25" s="120"/>
      <c r="Q25" s="120"/>
      <c r="R25" s="120"/>
      <c r="S25" s="120"/>
      <c r="T25" s="120"/>
      <c r="U25" s="120"/>
      <c r="V25" s="120"/>
      <c r="W25" s="120"/>
    </row>
    <row r="26">
      <c r="A26" s="126">
        <v>46165</v>
      </c>
      <c r="B26" s="127">
        <v>688.363</v>
      </c>
      <c r="C26" s="128">
        <v>7089.454</v>
      </c>
      <c r="D26" s="127">
        <v>7482.363</v>
      </c>
      <c r="E26" s="128">
        <v>26156.181</v>
      </c>
      <c r="F26" s="127">
        <v>96719.636</v>
      </c>
      <c r="G26" s="128">
        <v>31781.09</v>
      </c>
      <c r="H26" s="127">
        <v>23916.363</v>
      </c>
      <c r="I26" s="128">
        <v>72457.636</v>
      </c>
      <c r="J26" s="127">
        <v>28709.999</v>
      </c>
      <c r="K26" s="127">
        <v>12017.818</v>
      </c>
      <c r="L26" s="128">
        <v>10292.363</v>
      </c>
      <c r="M26" s="136"/>
      <c r="N26" s="119">
        <f t="shared" si="0"/>
      </c>
      <c r="O26" s="120"/>
      <c r="P26" s="120"/>
      <c r="Q26" s="120"/>
      <c r="R26" s="120"/>
      <c r="S26" s="120"/>
      <c r="T26" s="120"/>
      <c r="U26" s="120"/>
      <c r="V26" s="120"/>
      <c r="W26" s="120"/>
    </row>
    <row r="27">
      <c r="A27" s="126">
        <v>46166</v>
      </c>
      <c r="B27" s="127">
        <v>931.272</v>
      </c>
      <c r="C27" s="128">
        <v>7091.09</v>
      </c>
      <c r="D27" s="127">
        <v>6452.909</v>
      </c>
      <c r="E27" s="128">
        <v>20921.636</v>
      </c>
      <c r="F27" s="127">
        <v>79917.818</v>
      </c>
      <c r="G27" s="128">
        <v>25795.09</v>
      </c>
      <c r="H27" s="127">
        <v>20886.545</v>
      </c>
      <c r="I27" s="128">
        <v>46469.818</v>
      </c>
      <c r="J27" s="127">
        <v>23171.818</v>
      </c>
      <c r="K27" s="127">
        <v>11552.363</v>
      </c>
      <c r="L27" s="128">
        <v>11650.909</v>
      </c>
      <c r="M27" s="136"/>
      <c r="N27" s="119">
        <f t="shared" si="0"/>
      </c>
      <c r="O27" s="120"/>
      <c r="P27" s="120"/>
      <c r="Q27" s="120"/>
      <c r="R27" s="120"/>
      <c r="S27" s="120"/>
      <c r="T27" s="120"/>
      <c r="U27" s="120"/>
      <c r="V27" s="120"/>
      <c r="W27" s="120"/>
    </row>
    <row r="28">
      <c r="A28" s="126">
        <v>46167</v>
      </c>
      <c r="B28" s="134">
        <v>796.545</v>
      </c>
      <c r="C28" s="135">
        <v>9379.999</v>
      </c>
      <c r="D28" s="134">
        <v>5361.272</v>
      </c>
      <c r="E28" s="135">
        <v>24621.454</v>
      </c>
      <c r="F28" s="127">
        <v>101529.818</v>
      </c>
      <c r="G28" s="128">
        <v>23996.909</v>
      </c>
      <c r="H28" s="134">
        <v>27866.727</v>
      </c>
      <c r="I28" s="135">
        <v>59699.636</v>
      </c>
      <c r="J28" s="134">
        <v>21256.909</v>
      </c>
      <c r="K28" s="134">
        <v>13957.636</v>
      </c>
      <c r="L28" s="135">
        <v>10593.272</v>
      </c>
      <c r="M28" s="136"/>
      <c r="N28" s="119">
        <f t="shared" si="0"/>
      </c>
      <c r="O28" s="120"/>
      <c r="P28" s="120"/>
      <c r="Q28" s="120"/>
      <c r="R28" s="120"/>
      <c r="S28" s="120"/>
      <c r="T28" s="120"/>
      <c r="U28" s="120"/>
      <c r="V28" s="120"/>
      <c r="W28" s="120"/>
    </row>
    <row r="29">
      <c r="A29" s="126">
        <v>46168</v>
      </c>
      <c r="B29" s="127">
        <v>1253.636</v>
      </c>
      <c r="C29" s="128">
        <v>10389.636</v>
      </c>
      <c r="D29" s="127">
        <v>5857.454</v>
      </c>
      <c r="E29" s="128">
        <v>24339.636</v>
      </c>
      <c r="F29" s="127">
        <v>89197.818</v>
      </c>
      <c r="G29" s="128">
        <v>24313.999</v>
      </c>
      <c r="H29" s="127">
        <v>33882.363</v>
      </c>
      <c r="I29" s="128">
        <v>76271.09</v>
      </c>
      <c r="J29" s="127">
        <v>16707.272</v>
      </c>
      <c r="K29" s="127">
        <v>13881.818</v>
      </c>
      <c r="L29" s="128">
        <v>11042.181</v>
      </c>
      <c r="M29" s="136"/>
      <c r="N29" s="119">
        <f t="shared" si="0"/>
      </c>
      <c r="O29" s="120"/>
      <c r="P29" s="120"/>
      <c r="Q29" s="120"/>
      <c r="R29" s="120"/>
      <c r="S29" s="120"/>
      <c r="T29" s="120"/>
      <c r="U29" s="120"/>
      <c r="V29" s="120"/>
      <c r="W29" s="120"/>
    </row>
    <row r="30">
      <c r="A30" s="126">
        <v>46169</v>
      </c>
      <c r="B30" s="127">
        <v>719.999</v>
      </c>
      <c r="C30" s="128">
        <v>8008.727</v>
      </c>
      <c r="D30" s="127">
        <v>6204.363</v>
      </c>
      <c r="E30" s="128">
        <v>25192.727</v>
      </c>
      <c r="F30" s="127">
        <v>97906.545</v>
      </c>
      <c r="G30" s="128">
        <v>17842.545</v>
      </c>
      <c r="H30" s="127">
        <v>24315.636</v>
      </c>
      <c r="I30" s="128">
        <v>60935.09</v>
      </c>
      <c r="J30" s="127">
        <v>17883.818</v>
      </c>
      <c r="K30" s="127">
        <v>15563.999</v>
      </c>
      <c r="L30" s="128">
        <v>10209.818</v>
      </c>
      <c r="M30" s="136"/>
      <c r="N30" s="119">
        <f t="shared" si="0"/>
      </c>
      <c r="O30" s="120"/>
      <c r="P30" s="120"/>
      <c r="Q30" s="120"/>
      <c r="R30" s="120"/>
      <c r="S30" s="120"/>
      <c r="T30" s="120"/>
      <c r="U30" s="120"/>
      <c r="V30" s="120"/>
      <c r="W30" s="120"/>
    </row>
    <row r="31">
      <c r="A31" s="126">
        <v>46170</v>
      </c>
      <c r="B31" s="127">
        <v>574.545</v>
      </c>
      <c r="C31" s="128">
        <v>7347.999</v>
      </c>
      <c r="D31" s="127">
        <v>7398.727</v>
      </c>
      <c r="E31" s="128">
        <v>22509.999</v>
      </c>
      <c r="F31" s="127">
        <v>88845.999</v>
      </c>
      <c r="G31" s="128">
        <v>19547.272</v>
      </c>
      <c r="H31" s="127">
        <v>28706.545</v>
      </c>
      <c r="I31" s="128">
        <v>50472.909</v>
      </c>
      <c r="J31" s="127">
        <v>17681.636</v>
      </c>
      <c r="K31" s="127">
        <v>15516.909</v>
      </c>
      <c r="L31" s="128">
        <v>13243.999</v>
      </c>
      <c r="M31" s="136"/>
      <c r="N31" s="119">
        <f t="shared" si="0"/>
      </c>
      <c r="O31" s="120"/>
      <c r="P31" s="120"/>
      <c r="Q31" s="120"/>
      <c r="R31" s="120"/>
      <c r="S31" s="120"/>
      <c r="T31" s="120"/>
      <c r="U31" s="120"/>
      <c r="V31" s="120"/>
      <c r="W31" s="120"/>
    </row>
    <row r="32">
      <c r="A32" s="126">
        <v>46171</v>
      </c>
      <c r="B32" s="127">
        <v>766.181</v>
      </c>
      <c r="C32" s="128">
        <v>9260.181</v>
      </c>
      <c r="D32" s="127">
        <v>7861.09</v>
      </c>
      <c r="E32" s="128">
        <v>30367.272</v>
      </c>
      <c r="F32" s="127">
        <v>101617.454</v>
      </c>
      <c r="G32" s="128">
        <v>20303.999</v>
      </c>
      <c r="H32" s="127">
        <v>33304.727</v>
      </c>
      <c r="I32" s="128">
        <v>64102.909</v>
      </c>
      <c r="J32" s="127">
        <v>16115.09</v>
      </c>
      <c r="K32" s="127">
        <v>19377.454</v>
      </c>
      <c r="L32" s="128">
        <v>13676.727</v>
      </c>
      <c r="M32" s="136"/>
      <c r="N32" s="119">
        <f t="shared" si="0"/>
      </c>
      <c r="O32" s="120"/>
      <c r="P32" s="120"/>
      <c r="Q32" s="120"/>
      <c r="R32" s="120"/>
      <c r="S32" s="120"/>
      <c r="T32" s="120"/>
      <c r="U32" s="120"/>
      <c r="V32" s="120"/>
      <c r="W32" s="120"/>
    </row>
    <row r="33">
      <c r="A33" s="126">
        <v>46172</v>
      </c>
      <c r="B33" s="127">
        <v>942.363</v>
      </c>
      <c r="C33" s="128">
        <v>11051.999</v>
      </c>
      <c r="D33" s="127">
        <v>7946.727</v>
      </c>
      <c r="E33" s="128">
        <v>27509.636</v>
      </c>
      <c r="F33" s="127">
        <v>103780.545</v>
      </c>
      <c r="G33" s="128">
        <v>17361.454</v>
      </c>
      <c r="H33" s="127">
        <v>33168.545</v>
      </c>
      <c r="I33" s="128">
        <v>60856.545</v>
      </c>
      <c r="J33" s="127">
        <v>13097.999</v>
      </c>
      <c r="K33" s="127">
        <v>18618.181</v>
      </c>
      <c r="L33" s="128">
        <v>11924.909</v>
      </c>
      <c r="M33" s="136"/>
      <c r="N33" s="119">
        <f t="shared" si="0"/>
      </c>
      <c r="O33" s="120"/>
      <c r="P33" s="120"/>
      <c r="Q33" s="120"/>
      <c r="R33" s="120"/>
      <c r="S33" s="120"/>
      <c r="T33" s="120"/>
      <c r="U33" s="120"/>
      <c r="V33" s="120"/>
      <c r="W33" s="120"/>
    </row>
    <row r="34">
      <c r="A34" s="126">
        <v>46173</v>
      </c>
      <c r="B34" s="127">
        <v>590.909</v>
      </c>
      <c r="C34" s="128">
        <v>9161.454</v>
      </c>
      <c r="D34" s="127">
        <v>4619.818</v>
      </c>
      <c r="E34" s="128">
        <v>17570.545</v>
      </c>
      <c r="F34" s="127">
        <v>92535.999</v>
      </c>
      <c r="G34" s="128">
        <v>13722.363</v>
      </c>
      <c r="H34" s="127">
        <v>27150.181</v>
      </c>
      <c r="I34" s="128">
        <v>41386.909</v>
      </c>
      <c r="J34" s="127">
        <v>14438.363</v>
      </c>
      <c r="K34" s="127">
        <v>15920.181</v>
      </c>
      <c r="L34" s="128">
        <v>10980.363</v>
      </c>
      <c r="M34" s="136"/>
      <c r="N34" s="119">
        <f t="shared" si="0"/>
      </c>
      <c r="O34" s="120"/>
      <c r="P34" s="120"/>
      <c r="Q34" s="120"/>
      <c r="R34" s="120"/>
      <c r="S34" s="120"/>
      <c r="T34" s="120"/>
      <c r="U34" s="120"/>
      <c r="V34" s="120"/>
      <c r="W34" s="120"/>
    </row>
    <row r="35">
      <c r="A35" s="126">
        <v>46174</v>
      </c>
      <c r="B35" s="127">
        <v>869.999</v>
      </c>
      <c r="C35" s="128">
        <v>7639.818</v>
      </c>
      <c r="D35" s="127">
        <v>8094.363</v>
      </c>
      <c r="E35" s="128">
        <v>22218.909</v>
      </c>
      <c r="F35" s="127">
        <v>113935.818</v>
      </c>
      <c r="G35" s="128">
        <v>19704.363</v>
      </c>
      <c r="H35" s="127">
        <v>32712.545</v>
      </c>
      <c r="I35" s="128">
        <v>56783.09</v>
      </c>
      <c r="J35" s="127">
        <v>15743.636</v>
      </c>
      <c r="K35" s="127">
        <v>21471.999</v>
      </c>
      <c r="L35" s="128">
        <v>10018.909</v>
      </c>
      <c r="M35" s="136"/>
      <c r="N35" s="119">
        <f t="shared" si="0"/>
      </c>
      <c r="O35" s="120"/>
      <c r="P35" s="120"/>
      <c r="Q35" s="120"/>
      <c r="R35" s="120"/>
      <c r="S35" s="120"/>
      <c r="T35" s="120"/>
      <c r="U35" s="120"/>
      <c r="V35" s="120"/>
      <c r="W35" s="120"/>
    </row>
    <row r="36">
      <c r="A36" s="126">
        <v>46175</v>
      </c>
      <c r="B36" s="127">
        <v>814.363</v>
      </c>
      <c r="C36" s="128">
        <v>11285.999</v>
      </c>
      <c r="D36" s="127">
        <v>10589.272</v>
      </c>
      <c r="E36" s="128">
        <v>28508.545</v>
      </c>
      <c r="F36" s="127">
        <v>92765.09</v>
      </c>
      <c r="G36" s="128">
        <v>41988.909</v>
      </c>
      <c r="H36" s="127">
        <v>36300.363</v>
      </c>
      <c r="I36" s="128">
        <v>76819.818</v>
      </c>
      <c r="J36" s="127">
        <v>17132.181</v>
      </c>
      <c r="K36" s="127">
        <v>19662.181</v>
      </c>
      <c r="L36" s="128">
        <v>12597.999</v>
      </c>
      <c r="M36" s="136"/>
      <c r="N36" s="119">
        <f t="shared" si="0"/>
      </c>
      <c r="O36" s="120"/>
      <c r="P36" s="120"/>
      <c r="Q36" s="120"/>
      <c r="R36" s="120"/>
      <c r="S36" s="120"/>
      <c r="T36" s="120"/>
      <c r="U36" s="120"/>
      <c r="V36" s="120"/>
      <c r="W36" s="120"/>
    </row>
    <row r="37">
      <c r="A37" s="126">
        <v>46176</v>
      </c>
      <c r="B37" s="127">
        <v>397.999</v>
      </c>
      <c r="C37" s="128">
        <v>12541.818</v>
      </c>
      <c r="D37" s="127">
        <v>8889.454</v>
      </c>
      <c r="E37" s="128">
        <v>27565.09</v>
      </c>
      <c r="F37" s="127">
        <v>106163.999</v>
      </c>
      <c r="G37" s="128">
        <v>25138.545</v>
      </c>
      <c r="H37" s="127">
        <v>27503.636</v>
      </c>
      <c r="I37" s="128">
        <v>61776.181</v>
      </c>
      <c r="J37" s="127">
        <v>14225.09</v>
      </c>
      <c r="K37" s="127">
        <v>19398.181</v>
      </c>
      <c r="L37" s="128">
        <v>9542.545</v>
      </c>
      <c r="M37" s="136"/>
      <c r="N37" s="119">
        <f t="shared" si="0"/>
      </c>
      <c r="O37" s="120"/>
      <c r="P37" s="120"/>
      <c r="Q37" s="120"/>
      <c r="R37" s="120"/>
      <c r="S37" s="120"/>
      <c r="T37" s="120"/>
      <c r="U37" s="120"/>
      <c r="V37" s="120"/>
      <c r="W37" s="120"/>
    </row>
    <row r="38">
      <c r="A38" s="126">
        <v>46177</v>
      </c>
      <c r="B38" s="127">
        <v>642.545</v>
      </c>
      <c r="C38" s="128">
        <v>16120.909</v>
      </c>
      <c r="D38" s="127">
        <v>7642.181</v>
      </c>
      <c r="E38" s="128">
        <v>24422.181</v>
      </c>
      <c r="F38" s="127">
        <v>107916.909</v>
      </c>
      <c r="G38" s="128">
        <v>19184.727</v>
      </c>
      <c r="H38" s="127">
        <v>27349.636</v>
      </c>
      <c r="I38" s="128">
        <v>56477.09</v>
      </c>
      <c r="J38" s="127">
        <v>14816.727</v>
      </c>
      <c r="K38" s="127">
        <v>20520.363</v>
      </c>
      <c r="L38" s="128">
        <v>11530.727</v>
      </c>
      <c r="M38" s="136"/>
      <c r="N38" s="119">
        <f t="shared" si="0"/>
      </c>
      <c r="O38" s="120"/>
      <c r="P38" s="120"/>
      <c r="Q38" s="120"/>
      <c r="R38" s="120"/>
      <c r="S38" s="120"/>
      <c r="T38" s="120"/>
      <c r="U38" s="120"/>
      <c r="V38" s="120"/>
      <c r="W38" s="120"/>
    </row>
    <row r="39">
      <c r="A39" s="126">
        <v>46178</v>
      </c>
      <c r="B39" s="127">
        <v>684.727</v>
      </c>
      <c r="C39" s="128">
        <v>18186.545</v>
      </c>
      <c r="D39" s="127">
        <v>8363.454</v>
      </c>
      <c r="E39" s="128">
        <v>31241.454</v>
      </c>
      <c r="F39" s="127">
        <v>133330.181</v>
      </c>
      <c r="G39" s="128">
        <v>18611.636</v>
      </c>
      <c r="H39" s="127">
        <v>32999.636</v>
      </c>
      <c r="I39" s="128">
        <v>65115.272</v>
      </c>
      <c r="J39" s="127">
        <v>17023.09</v>
      </c>
      <c r="K39" s="127">
        <v>19918.909</v>
      </c>
      <c r="L39" s="128">
        <v>11319.636</v>
      </c>
      <c r="M39" s="136"/>
      <c r="N39" s="119">
        <f t="shared" si="0"/>
      </c>
      <c r="O39" s="120"/>
      <c r="P39" s="120"/>
      <c r="Q39" s="120"/>
      <c r="R39" s="120"/>
      <c r="S39" s="120"/>
      <c r="T39" s="120"/>
      <c r="U39" s="120"/>
      <c r="V39" s="120"/>
      <c r="W39" s="120"/>
    </row>
    <row r="40">
      <c r="A40" s="126">
        <v>46179</v>
      </c>
      <c r="B40" s="127">
        <v>751.454</v>
      </c>
      <c r="C40" s="128">
        <v>13373.999</v>
      </c>
      <c r="D40" s="127">
        <v>10298.727</v>
      </c>
      <c r="E40" s="128">
        <v>31047.272</v>
      </c>
      <c r="F40" s="127">
        <v>131167.09</v>
      </c>
      <c r="G40" s="128">
        <v>15723.636</v>
      </c>
      <c r="H40" s="127">
        <v>39712.363</v>
      </c>
      <c r="I40" s="128">
        <v>83451.999</v>
      </c>
      <c r="J40" s="127">
        <v>13846.727</v>
      </c>
      <c r="K40" s="127">
        <v>25199.818</v>
      </c>
      <c r="L40" s="128">
        <v>14030.181</v>
      </c>
      <c r="M40" s="136"/>
      <c r="N40" s="119">
        <f t="shared" si="0"/>
      </c>
      <c r="O40" s="120"/>
      <c r="P40" s="120"/>
      <c r="Q40" s="120"/>
      <c r="R40" s="120"/>
      <c r="S40" s="120"/>
      <c r="T40" s="120"/>
      <c r="U40" s="120"/>
      <c r="V40" s="120"/>
      <c r="W40" s="120"/>
    </row>
    <row r="41">
      <c r="A41" s="126">
        <v>46180</v>
      </c>
      <c r="B41" s="127">
        <v>884.545</v>
      </c>
      <c r="C41" s="128">
        <v>10088.181</v>
      </c>
      <c r="D41" s="127">
        <v>9784.545</v>
      </c>
      <c r="E41" s="128">
        <v>29344.909</v>
      </c>
      <c r="F41" s="127">
        <v>105645.272</v>
      </c>
      <c r="G41" s="128">
        <v>16035.09</v>
      </c>
      <c r="H41" s="127">
        <v>28659.454</v>
      </c>
      <c r="I41" s="128">
        <v>78012.181</v>
      </c>
      <c r="J41" s="127">
        <v>11354.181</v>
      </c>
      <c r="K41" s="127">
        <v>25320.181</v>
      </c>
      <c r="L41" s="128">
        <v>8462.363</v>
      </c>
      <c r="M41" s="136"/>
      <c r="N41" s="119">
        <f t="shared" si="0"/>
      </c>
      <c r="O41" s="120"/>
      <c r="P41" s="120"/>
      <c r="Q41" s="120"/>
      <c r="R41" s="120"/>
      <c r="S41" s="120"/>
      <c r="T41" s="120"/>
      <c r="U41" s="120"/>
      <c r="V41" s="120"/>
      <c r="W41" s="120"/>
    </row>
    <row r="42">
      <c r="A42" s="126">
        <v>46181</v>
      </c>
      <c r="B42" s="127">
        <v>703.999</v>
      </c>
      <c r="C42" s="128">
        <v>10715.454</v>
      </c>
      <c r="D42" s="127">
        <v>11268.545</v>
      </c>
      <c r="E42" s="128">
        <v>33068.363</v>
      </c>
      <c r="F42" s="127">
        <v>137409.272</v>
      </c>
      <c r="G42" s="128">
        <v>17850.909</v>
      </c>
      <c r="H42" s="127">
        <v>25955.818</v>
      </c>
      <c r="I42" s="128">
        <v>93320.909</v>
      </c>
      <c r="J42" s="127">
        <v>17671.999</v>
      </c>
      <c r="K42" s="127">
        <v>28620.909</v>
      </c>
      <c r="L42" s="128">
        <v>11601.999</v>
      </c>
      <c r="M42" s="136"/>
      <c r="N42" s="119">
        <f t="shared" si="0"/>
      </c>
      <c r="O42" s="120"/>
      <c r="P42" s="120"/>
      <c r="Q42" s="120"/>
      <c r="R42" s="120"/>
      <c r="S42" s="120"/>
      <c r="T42" s="120"/>
      <c r="U42" s="120"/>
      <c r="V42" s="120"/>
      <c r="W42" s="120"/>
    </row>
    <row r="43">
      <c r="A43" s="126">
        <v>46182</v>
      </c>
      <c r="B43" s="127">
        <v>802.545</v>
      </c>
      <c r="C43" s="128">
        <v>12589.636</v>
      </c>
      <c r="D43" s="127">
        <v>10305.272</v>
      </c>
      <c r="E43" s="128">
        <v>31396.727</v>
      </c>
      <c r="F43" s="127">
        <v>129054.727</v>
      </c>
      <c r="G43" s="128">
        <v>14340.545</v>
      </c>
      <c r="H43" s="127">
        <v>37802.545</v>
      </c>
      <c r="I43" s="128">
        <v>82866.727</v>
      </c>
      <c r="J43" s="127">
        <v>18021.272</v>
      </c>
      <c r="K43" s="127">
        <v>29298.545</v>
      </c>
      <c r="L43" s="128">
        <v>13728.545</v>
      </c>
      <c r="M43" s="136"/>
      <c r="N43" s="119">
        <f t="shared" si="0"/>
      </c>
      <c r="O43" s="120"/>
      <c r="P43" s="120"/>
      <c r="Q43" s="120"/>
      <c r="R43" s="120"/>
      <c r="S43" s="120"/>
      <c r="T43" s="120"/>
      <c r="U43" s="120"/>
      <c r="V43" s="120"/>
      <c r="W43" s="120"/>
    </row>
    <row r="44">
      <c r="A44" s="126">
        <v>46183</v>
      </c>
      <c r="B44" s="127">
        <v>956.181</v>
      </c>
      <c r="C44" s="128">
        <v>9806.545</v>
      </c>
      <c r="D44" s="127">
        <v>9454.181</v>
      </c>
      <c r="E44" s="128">
        <v>22822.727</v>
      </c>
      <c r="F44" s="127">
        <v>111430.181</v>
      </c>
      <c r="G44" s="128">
        <v>10699.818</v>
      </c>
      <c r="H44" s="127">
        <v>29686.545</v>
      </c>
      <c r="I44" s="128">
        <v>72095.272</v>
      </c>
      <c r="J44" s="127">
        <v>11190.363</v>
      </c>
      <c r="K44" s="127">
        <v>23467.636</v>
      </c>
      <c r="L44" s="128">
        <v>10686.545</v>
      </c>
      <c r="M44" s="127">
        <v>686.909</v>
      </c>
      <c r="N44" s="119">
        <f t="shared" si="0"/>
      </c>
      <c r="O44" s="120"/>
      <c r="P44" s="120"/>
      <c r="Q44" s="120"/>
      <c r="R44" s="120"/>
      <c r="S44" s="120"/>
      <c r="T44" s="120"/>
      <c r="U44" s="120"/>
      <c r="V44" s="120"/>
      <c r="W44" s="120"/>
    </row>
    <row r="45">
      <c r="A45" s="126">
        <v>46184</v>
      </c>
      <c r="B45" s="127">
        <v>722.181</v>
      </c>
      <c r="C45" s="128">
        <v>9746.181</v>
      </c>
      <c r="D45" s="127">
        <v>8523.636</v>
      </c>
      <c r="E45" s="128">
        <v>24281.818</v>
      </c>
      <c r="F45" s="127">
        <v>102619.272</v>
      </c>
      <c r="G45" s="128">
        <v>10183.636</v>
      </c>
      <c r="H45" s="127">
        <v>24632.181</v>
      </c>
      <c r="I45" s="128">
        <v>53186.181</v>
      </c>
      <c r="J45" s="127">
        <v>11325.818</v>
      </c>
      <c r="K45" s="127">
        <v>20660.727</v>
      </c>
      <c r="L45" s="128">
        <v>7998.727</v>
      </c>
      <c r="M45" s="127">
        <v>7912.727</v>
      </c>
      <c r="N45" s="119">
        <f t="shared" si="0"/>
      </c>
      <c r="O45" s="120"/>
      <c r="P45" s="120"/>
      <c r="Q45" s="120"/>
      <c r="R45" s="120"/>
      <c r="S45" s="120"/>
      <c r="T45" s="120"/>
      <c r="U45" s="120"/>
      <c r="V45" s="120"/>
      <c r="W45" s="120"/>
    </row>
    <row r="46">
      <c r="A46" s="126">
        <v>46185</v>
      </c>
      <c r="B46" s="127">
        <v>948.181</v>
      </c>
      <c r="C46" s="128">
        <v>9403.999</v>
      </c>
      <c r="D46" s="127">
        <v>9135.09</v>
      </c>
      <c r="E46" s="128">
        <v>24287.999</v>
      </c>
      <c r="F46" s="127">
        <v>112023.09</v>
      </c>
      <c r="G46" s="128">
        <v>11988.181</v>
      </c>
      <c r="H46" s="127">
        <v>25801.272</v>
      </c>
      <c r="I46" s="128">
        <v>42828.909</v>
      </c>
      <c r="J46" s="127">
        <v>9149.636</v>
      </c>
      <c r="K46" s="127">
        <v>17878.727</v>
      </c>
      <c r="L46" s="128">
        <v>8172.181</v>
      </c>
      <c r="M46" s="127">
        <v>10565.454</v>
      </c>
      <c r="N46" s="119">
        <f t="shared" si="0"/>
      </c>
      <c r="O46" s="120"/>
      <c r="P46" s="120"/>
      <c r="Q46" s="120"/>
      <c r="R46" s="120"/>
      <c r="S46" s="120"/>
      <c r="T46" s="120"/>
      <c r="U46" s="120"/>
      <c r="V46" s="120"/>
      <c r="W46" s="120"/>
    </row>
    <row r="47">
      <c r="A47" s="126">
        <v>46186</v>
      </c>
      <c r="B47" s="127">
        <v>971.818</v>
      </c>
      <c r="C47" s="128">
        <v>8155.272</v>
      </c>
      <c r="D47" s="127">
        <v>12491.09</v>
      </c>
      <c r="E47" s="128">
        <v>19508.909</v>
      </c>
      <c r="F47" s="127">
        <v>100588.545</v>
      </c>
      <c r="G47" s="128">
        <v>9899.272</v>
      </c>
      <c r="H47" s="127">
        <v>27864.727</v>
      </c>
      <c r="I47" s="128">
        <v>40361.636</v>
      </c>
      <c r="J47" s="127">
        <v>10030.181</v>
      </c>
      <c r="K47" s="127">
        <v>21927.454</v>
      </c>
      <c r="L47" s="128">
        <v>9540.181</v>
      </c>
      <c r="M47" s="127">
        <v>10722.727</v>
      </c>
      <c r="N47" s="119">
        <f t="shared" si="0"/>
      </c>
      <c r="O47" s="120"/>
      <c r="P47" s="120"/>
      <c r="Q47" s="120"/>
      <c r="R47" s="120"/>
      <c r="S47" s="120"/>
      <c r="T47" s="120"/>
      <c r="U47" s="120"/>
      <c r="V47" s="120"/>
      <c r="W47" s="120"/>
    </row>
    <row r="48">
      <c r="A48" s="126">
        <v>46187</v>
      </c>
      <c r="B48" s="127">
        <v>589.09</v>
      </c>
      <c r="C48" s="128">
        <v>7222.727</v>
      </c>
      <c r="D48" s="127">
        <v>17694.545</v>
      </c>
      <c r="E48" s="128">
        <v>28390.909</v>
      </c>
      <c r="F48" s="127">
        <v>87529.999</v>
      </c>
      <c r="G48" s="128">
        <v>10314.545</v>
      </c>
      <c r="H48" s="127">
        <v>22281.636</v>
      </c>
      <c r="I48" s="128">
        <v>33720.727</v>
      </c>
      <c r="J48" s="127">
        <v>10652.727</v>
      </c>
      <c r="K48" s="127">
        <v>24212.545</v>
      </c>
      <c r="L48" s="128">
        <v>5786.545</v>
      </c>
      <c r="M48" s="127">
        <v>11384.545</v>
      </c>
      <c r="N48" s="119">
        <f t="shared" si="0"/>
      </c>
      <c r="O48" s="120"/>
      <c r="P48" s="120"/>
      <c r="Q48" s="120"/>
      <c r="R48" s="120"/>
      <c r="S48" s="120"/>
      <c r="T48" s="120"/>
      <c r="U48" s="120"/>
      <c r="V48" s="120"/>
      <c r="W48" s="120"/>
    </row>
    <row r="49">
      <c r="A49" s="126">
        <v>46188</v>
      </c>
      <c r="B49" s="127">
        <v>569.272</v>
      </c>
      <c r="C49" s="128">
        <v>7287.454</v>
      </c>
      <c r="D49" s="127">
        <v>11168.545</v>
      </c>
      <c r="E49" s="128">
        <v>22335.818</v>
      </c>
      <c r="F49" s="127">
        <v>126231.454</v>
      </c>
      <c r="G49" s="128">
        <v>12621.818</v>
      </c>
      <c r="H49" s="127">
        <v>23436.181</v>
      </c>
      <c r="I49" s="128">
        <v>28982.181</v>
      </c>
      <c r="J49" s="127">
        <v>7635.454</v>
      </c>
      <c r="K49" s="127">
        <v>26380.363</v>
      </c>
      <c r="L49" s="128">
        <v>7686.727</v>
      </c>
      <c r="M49" s="127">
        <v>15307.09</v>
      </c>
      <c r="N49" s="119">
        <f t="shared" si="0"/>
      </c>
      <c r="O49" s="120"/>
      <c r="P49" s="120"/>
      <c r="Q49" s="120"/>
      <c r="R49" s="120"/>
      <c r="S49" s="120"/>
      <c r="T49" s="120"/>
      <c r="U49" s="120"/>
      <c r="V49" s="120"/>
      <c r="W49" s="120"/>
    </row>
    <row r="50">
      <c r="A50" s="126">
        <v>46189</v>
      </c>
      <c r="B50" s="127">
        <v>787.999</v>
      </c>
      <c r="C50" s="128">
        <v>8354.363</v>
      </c>
      <c r="D50" s="127">
        <v>9163.272</v>
      </c>
      <c r="E50" s="128">
        <v>24453.454</v>
      </c>
      <c r="F50" s="127">
        <v>121523.09</v>
      </c>
      <c r="G50" s="128">
        <v>10961.818</v>
      </c>
      <c r="H50" s="127">
        <v>24038.181</v>
      </c>
      <c r="I50" s="128">
        <v>61240.363</v>
      </c>
      <c r="J50" s="127">
        <v>8944.363</v>
      </c>
      <c r="K50" s="127">
        <v>25295.272</v>
      </c>
      <c r="L50" s="128">
        <v>9643.818</v>
      </c>
      <c r="M50" s="127">
        <v>14139.454</v>
      </c>
      <c r="N50" s="119">
        <f t="shared" si="0"/>
      </c>
      <c r="O50" s="120"/>
      <c r="P50" s="120"/>
      <c r="Q50" s="120"/>
      <c r="R50" s="120"/>
      <c r="S50" s="120"/>
      <c r="T50" s="120"/>
      <c r="U50" s="120"/>
      <c r="V50" s="120"/>
      <c r="W50" s="120"/>
    </row>
    <row r="51">
      <c r="A51" s="126">
        <v>46190</v>
      </c>
      <c r="B51" s="127">
        <v>615.999</v>
      </c>
      <c r="C51" s="128">
        <v>7524.545</v>
      </c>
      <c r="D51" s="127">
        <v>17120.909</v>
      </c>
      <c r="E51" s="128">
        <v>22919.999</v>
      </c>
      <c r="F51" s="127">
        <v>105770.909</v>
      </c>
      <c r="G51" s="128">
        <v>13685.999</v>
      </c>
      <c r="H51" s="127">
        <v>24775.636</v>
      </c>
      <c r="I51" s="128">
        <v>46894.181</v>
      </c>
      <c r="J51" s="127">
        <v>6377.999</v>
      </c>
      <c r="K51" s="127">
        <v>26005.818</v>
      </c>
      <c r="L51" s="128">
        <v>9771.272</v>
      </c>
      <c r="M51" s="127">
        <v>18685.09</v>
      </c>
      <c r="N51" s="119">
        <f t="shared" si="0"/>
      </c>
      <c r="O51" s="120"/>
      <c r="P51" s="120"/>
      <c r="Q51" s="120"/>
      <c r="R51" s="120"/>
      <c r="S51" s="120"/>
      <c r="T51" s="120"/>
      <c r="U51" s="120"/>
      <c r="V51" s="120"/>
      <c r="W51" s="120"/>
    </row>
    <row r="52">
      <c r="A52" s="126">
        <v>46191</v>
      </c>
      <c r="B52" s="127">
        <v>587.09</v>
      </c>
      <c r="C52" s="128">
        <v>10547.818</v>
      </c>
      <c r="D52" s="127">
        <v>7963.999</v>
      </c>
      <c r="E52" s="128">
        <v>18663.818</v>
      </c>
      <c r="F52" s="127">
        <v>103915.454</v>
      </c>
      <c r="G52" s="128">
        <v>13579.454</v>
      </c>
      <c r="H52" s="127">
        <v>24941.454</v>
      </c>
      <c r="I52" s="128">
        <v>37974.909</v>
      </c>
      <c r="J52" s="127">
        <v>6076.363</v>
      </c>
      <c r="K52" s="127">
        <v>26212.545</v>
      </c>
      <c r="L52" s="128">
        <v>9663.999</v>
      </c>
      <c r="M52" s="127">
        <v>18577.454</v>
      </c>
      <c r="N52" s="119">
        <f t="shared" si="0"/>
      </c>
      <c r="O52" s="120"/>
      <c r="P52" s="120"/>
      <c r="Q52" s="120"/>
      <c r="R52" s="120"/>
      <c r="S52" s="120"/>
      <c r="T52" s="120"/>
      <c r="U52" s="120"/>
      <c r="V52" s="120"/>
      <c r="W52" s="120"/>
    </row>
    <row r="53">
      <c r="A53" s="126">
        <v>46192</v>
      </c>
      <c r="B53" s="127">
        <v>878.181</v>
      </c>
      <c r="C53" s="128">
        <v>9667.818</v>
      </c>
      <c r="D53" s="127">
        <v>10091.818</v>
      </c>
      <c r="E53" s="128">
        <v>27119.09</v>
      </c>
      <c r="F53" s="127">
        <v>105003.272</v>
      </c>
      <c r="G53" s="128">
        <v>9836.909</v>
      </c>
      <c r="H53" s="127">
        <v>21073.272</v>
      </c>
      <c r="I53" s="128">
        <v>43073.272</v>
      </c>
      <c r="J53" s="127">
        <v>6122.363</v>
      </c>
      <c r="K53" s="127">
        <v>28699.09</v>
      </c>
      <c r="L53" s="128">
        <v>11058.727</v>
      </c>
      <c r="M53" s="127">
        <v>18882.909</v>
      </c>
      <c r="N53" s="119">
        <f t="shared" si="0"/>
      </c>
      <c r="O53" s="120"/>
      <c r="P53" s="120"/>
      <c r="Q53" s="120"/>
      <c r="R53" s="120"/>
      <c r="S53" s="120"/>
      <c r="T53" s="120"/>
      <c r="U53" s="120"/>
      <c r="V53" s="120"/>
      <c r="W53" s="120"/>
    </row>
    <row r="54">
      <c r="A54" s="126">
        <v>46193</v>
      </c>
      <c r="B54" s="138">
        <v>692.909</v>
      </c>
      <c r="C54" s="128">
        <v>7885.999</v>
      </c>
      <c r="D54" s="127">
        <v>9954.909</v>
      </c>
      <c r="E54" s="128">
        <v>21291.818</v>
      </c>
      <c r="F54" s="127">
        <v>112157.818</v>
      </c>
      <c r="G54" s="128">
        <v>12723.09</v>
      </c>
      <c r="H54" s="127">
        <v>25817.636</v>
      </c>
      <c r="I54" s="128">
        <v>49433.09</v>
      </c>
      <c r="J54" s="127">
        <v>8219.999</v>
      </c>
      <c r="K54" s="127">
        <v>32307.454</v>
      </c>
      <c r="L54" s="128">
        <v>9848.363</v>
      </c>
      <c r="M54" s="127">
        <v>16236.181</v>
      </c>
      <c r="N54" s="119">
        <f t="shared" si="0"/>
      </c>
      <c r="O54" s="120"/>
      <c r="P54" s="120"/>
      <c r="Q54" s="120"/>
      <c r="R54" s="120"/>
      <c r="S54" s="120"/>
      <c r="T54" s="120"/>
      <c r="U54" s="120"/>
      <c r="V54" s="120"/>
      <c r="W54" s="120"/>
    </row>
    <row r="55">
      <c r="A55" s="126">
        <v>46194</v>
      </c>
      <c r="B55" s="138">
        <v>513.818</v>
      </c>
      <c r="C55" s="128">
        <v>8551.636</v>
      </c>
      <c r="D55" s="127">
        <v>8197.454</v>
      </c>
      <c r="E55" s="128">
        <v>17565.272</v>
      </c>
      <c r="F55" s="127">
        <v>102575.999</v>
      </c>
      <c r="G55" s="128">
        <v>8964.181</v>
      </c>
      <c r="H55" s="127">
        <v>21541.09</v>
      </c>
      <c r="I55" s="128">
        <v>37198.363</v>
      </c>
      <c r="J55" s="127">
        <v>7559.272</v>
      </c>
      <c r="K55" s="127">
        <v>28261.454</v>
      </c>
      <c r="L55" s="128">
        <v>8849.999</v>
      </c>
      <c r="M55" s="127">
        <v>15886.727</v>
      </c>
      <c r="N55" s="119">
        <f t="shared" si="0"/>
      </c>
      <c r="O55" s="120"/>
      <c r="P55" s="120"/>
      <c r="Q55" s="120"/>
      <c r="R55" s="120"/>
      <c r="S55" s="120"/>
      <c r="T55" s="120"/>
      <c r="U55" s="120"/>
      <c r="V55" s="120"/>
      <c r="W55" s="120"/>
    </row>
    <row r="56">
      <c r="A56" s="126">
        <v>46195</v>
      </c>
      <c r="B56" s="134"/>
      <c r="C56" s="135"/>
      <c r="D56" s="134"/>
      <c r="E56" s="135"/>
      <c r="F56" s="134"/>
      <c r="G56" s="135"/>
      <c r="H56" s="134"/>
      <c r="I56" s="135"/>
      <c r="J56" s="134"/>
      <c r="K56" s="134"/>
      <c r="L56" s="135"/>
      <c r="M56" s="134"/>
      <c r="N56" s="119">
        <f t="shared" si="0"/>
      </c>
      <c r="O56" s="120"/>
      <c r="P56" s="120"/>
      <c r="Q56" s="120"/>
      <c r="R56" s="120"/>
      <c r="S56" s="120"/>
      <c r="T56" s="120"/>
      <c r="U56" s="120"/>
      <c r="V56" s="120"/>
      <c r="W56" s="120"/>
    </row>
    <row r="57">
      <c r="A57" s="126">
        <v>46196</v>
      </c>
      <c r="B57" s="134"/>
      <c r="C57" s="135"/>
      <c r="D57" s="134"/>
      <c r="E57" s="135"/>
      <c r="F57" s="134"/>
      <c r="G57" s="135"/>
      <c r="H57" s="134"/>
      <c r="I57" s="135"/>
      <c r="J57" s="134"/>
      <c r="K57" s="134"/>
      <c r="L57" s="135"/>
      <c r="M57" s="134"/>
      <c r="N57" s="119">
        <f t="shared" si="0"/>
      </c>
      <c r="O57" s="120"/>
      <c r="P57" s="120"/>
      <c r="Q57" s="120"/>
      <c r="R57" s="120"/>
      <c r="S57" s="120"/>
      <c r="T57" s="120"/>
      <c r="U57" s="120"/>
      <c r="V57" s="120"/>
      <c r="W57" s="120"/>
    </row>
    <row r="58">
      <c r="A58" s="126">
        <v>46197</v>
      </c>
      <c r="B58" s="134"/>
      <c r="C58" s="135"/>
      <c r="D58" s="134"/>
      <c r="E58" s="135"/>
      <c r="F58" s="134"/>
      <c r="G58" s="135"/>
      <c r="H58" s="134"/>
      <c r="I58" s="135"/>
      <c r="J58" s="134"/>
      <c r="K58" s="134"/>
      <c r="L58" s="135"/>
      <c r="M58" s="134"/>
      <c r="N58" s="119">
        <f t="shared" si="0"/>
      </c>
      <c r="O58" s="120"/>
      <c r="P58" s="120"/>
      <c r="Q58" s="120"/>
      <c r="R58" s="120"/>
      <c r="S58" s="120"/>
      <c r="T58" s="120"/>
      <c r="U58" s="120"/>
      <c r="V58" s="120"/>
      <c r="W58" s="120"/>
    </row>
    <row r="59">
      <c r="A59" s="126">
        <v>46198</v>
      </c>
      <c r="B59" s="134"/>
      <c r="C59" s="135"/>
      <c r="D59" s="134"/>
      <c r="E59" s="135"/>
      <c r="F59" s="134"/>
      <c r="G59" s="135"/>
      <c r="H59" s="134"/>
      <c r="I59" s="135"/>
      <c r="J59" s="134"/>
      <c r="K59" s="134"/>
      <c r="L59" s="135"/>
      <c r="M59" s="134"/>
      <c r="N59" s="119">
        <f t="shared" si="0"/>
      </c>
      <c r="O59" s="120"/>
      <c r="P59" s="120"/>
      <c r="Q59" s="120"/>
      <c r="R59" s="120"/>
      <c r="S59" s="120"/>
      <c r="T59" s="120"/>
      <c r="U59" s="120"/>
      <c r="V59" s="120"/>
      <c r="W59" s="120"/>
    </row>
    <row r="60">
      <c r="A60" s="126">
        <v>46199</v>
      </c>
      <c r="B60" s="134"/>
      <c r="C60" s="135"/>
      <c r="D60" s="134"/>
      <c r="E60" s="135"/>
      <c r="F60" s="134"/>
      <c r="G60" s="135"/>
      <c r="H60" s="134"/>
      <c r="I60" s="135"/>
      <c r="J60" s="134"/>
      <c r="K60" s="134"/>
      <c r="L60" s="135"/>
      <c r="M60" s="134"/>
      <c r="N60" s="119">
        <f t="shared" si="0"/>
      </c>
      <c r="O60" s="120"/>
      <c r="P60" s="120"/>
      <c r="Q60" s="120"/>
      <c r="R60" s="120"/>
      <c r="S60" s="120"/>
      <c r="T60" s="120"/>
      <c r="U60" s="120"/>
      <c r="V60" s="120"/>
      <c r="W60" s="120"/>
    </row>
    <row r="61">
      <c r="A61" s="126">
        <v>46200</v>
      </c>
      <c r="B61" s="134"/>
      <c r="C61" s="135"/>
      <c r="D61" s="134"/>
      <c r="E61" s="135"/>
      <c r="F61" s="134"/>
      <c r="G61" s="135"/>
      <c r="H61" s="134"/>
      <c r="I61" s="135"/>
      <c r="J61" s="134"/>
      <c r="K61" s="134"/>
      <c r="L61" s="135"/>
      <c r="M61" s="134"/>
      <c r="N61" s="119">
        <f t="shared" si="0"/>
      </c>
      <c r="O61" s="120"/>
      <c r="P61" s="120"/>
      <c r="Q61" s="120"/>
      <c r="R61" s="120"/>
      <c r="S61" s="120"/>
      <c r="T61" s="120"/>
      <c r="U61" s="120"/>
      <c r="V61" s="120"/>
      <c r="W61" s="120"/>
    </row>
    <row r="62">
      <c r="A62" s="126">
        <v>46201</v>
      </c>
      <c r="B62" s="134"/>
      <c r="C62" s="135"/>
      <c r="D62" s="134"/>
      <c r="E62" s="135"/>
      <c r="F62" s="134"/>
      <c r="G62" s="135"/>
      <c r="H62" s="134"/>
      <c r="I62" s="135"/>
      <c r="J62" s="134"/>
      <c r="K62" s="134"/>
      <c r="L62" s="135"/>
      <c r="M62" s="134"/>
      <c r="N62" s="119">
        <f t="shared" si="0"/>
      </c>
      <c r="O62" s="120"/>
      <c r="P62" s="120"/>
      <c r="Q62" s="120"/>
      <c r="R62" s="120"/>
      <c r="S62" s="120"/>
      <c r="T62" s="120"/>
      <c r="U62" s="120"/>
      <c r="V62" s="120"/>
      <c r="W62" s="120"/>
    </row>
    <row r="63">
      <c r="A63" s="126">
        <v>46202</v>
      </c>
      <c r="B63" s="134"/>
      <c r="C63" s="135"/>
      <c r="D63" s="134"/>
      <c r="E63" s="135"/>
      <c r="F63" s="134"/>
      <c r="G63" s="135"/>
      <c r="H63" s="134"/>
      <c r="I63" s="135"/>
      <c r="J63" s="134"/>
      <c r="K63" s="134"/>
      <c r="L63" s="135"/>
      <c r="M63" s="134"/>
      <c r="N63" s="119">
        <f t="shared" si="0"/>
      </c>
      <c r="O63" s="120"/>
      <c r="P63" s="120"/>
      <c r="Q63" s="120"/>
      <c r="R63" s="120"/>
      <c r="S63" s="120"/>
      <c r="T63" s="120"/>
      <c r="U63" s="120"/>
      <c r="V63" s="120"/>
      <c r="W63" s="120"/>
    </row>
    <row r="64">
      <c r="A64" s="126">
        <v>46203</v>
      </c>
      <c r="B64" s="134"/>
      <c r="C64" s="135"/>
      <c r="D64" s="134"/>
      <c r="E64" s="135"/>
      <c r="F64" s="134"/>
      <c r="G64" s="135"/>
      <c r="H64" s="134"/>
      <c r="I64" s="135"/>
      <c r="J64" s="134"/>
      <c r="K64" s="134"/>
      <c r="L64" s="135"/>
      <c r="M64" s="134"/>
      <c r="N64" s="119">
        <f t="shared" si="0"/>
      </c>
      <c r="O64" s="120"/>
      <c r="P64" s="120"/>
      <c r="Q64" s="120"/>
      <c r="R64" s="120"/>
      <c r="S64" s="120"/>
      <c r="T64" s="120"/>
      <c r="U64" s="120"/>
      <c r="V64" s="120"/>
      <c r="W64" s="120"/>
    </row>
    <row r="65">
      <c r="A65" s="126">
        <v>46204</v>
      </c>
      <c r="B65" s="134"/>
      <c r="C65" s="135"/>
      <c r="D65" s="134"/>
      <c r="E65" s="135"/>
      <c r="F65" s="134"/>
      <c r="G65" s="135"/>
      <c r="H65" s="134"/>
      <c r="I65" s="135"/>
      <c r="J65" s="134"/>
      <c r="K65" s="134"/>
      <c r="L65" s="135"/>
      <c r="M65" s="134"/>
      <c r="N65" s="119">
        <f t="shared" si="0"/>
      </c>
      <c r="O65" s="120"/>
      <c r="P65" s="120"/>
      <c r="Q65" s="120"/>
      <c r="R65" s="120"/>
      <c r="S65" s="120"/>
      <c r="T65" s="120"/>
      <c r="U65" s="120"/>
      <c r="V65" s="120"/>
      <c r="W65" s="120"/>
    </row>
    <row r="66">
      <c r="A66" s="126">
        <v>46205</v>
      </c>
      <c r="B66" s="134"/>
      <c r="C66" s="135"/>
      <c r="D66" s="134"/>
      <c r="E66" s="135"/>
      <c r="F66" s="134"/>
      <c r="G66" s="135"/>
      <c r="H66" s="134"/>
      <c r="I66" s="135"/>
      <c r="J66" s="134"/>
      <c r="K66" s="134"/>
      <c r="L66" s="135"/>
      <c r="M66" s="134"/>
      <c r="N66" s="119"/>
      <c r="O66" s="120"/>
      <c r="P66" s="120"/>
      <c r="Q66" s="120"/>
      <c r="R66" s="120"/>
      <c r="S66" s="120"/>
      <c r="T66" s="120"/>
      <c r="U66" s="120"/>
      <c r="V66" s="120"/>
      <c r="W66" s="120"/>
    </row>
    <row r="67">
      <c r="A67" s="126">
        <v>46206</v>
      </c>
      <c r="B67" s="134"/>
      <c r="C67" s="135"/>
      <c r="D67" s="134"/>
      <c r="E67" s="135"/>
      <c r="F67" s="134"/>
      <c r="G67" s="135"/>
      <c r="H67" s="134"/>
      <c r="I67" s="135"/>
      <c r="J67" s="134"/>
      <c r="K67" s="134"/>
      <c r="L67" s="135"/>
      <c r="M67" s="134"/>
      <c r="N67" s="119"/>
      <c r="O67" s="120"/>
      <c r="P67" s="120"/>
      <c r="Q67" s="120"/>
      <c r="R67" s="120"/>
      <c r="S67" s="120"/>
      <c r="T67" s="120"/>
      <c r="U67" s="120"/>
      <c r="V67" s="120"/>
      <c r="W67" s="120"/>
    </row>
    <row r="68">
      <c r="A68" s="126">
        <v>46207</v>
      </c>
      <c r="B68" s="134"/>
      <c r="C68" s="135"/>
      <c r="D68" s="134"/>
      <c r="E68" s="135"/>
      <c r="F68" s="134"/>
      <c r="G68" s="135"/>
      <c r="H68" s="134"/>
      <c r="I68" s="135"/>
      <c r="J68" s="134"/>
      <c r="K68" s="134"/>
      <c r="L68" s="135"/>
      <c r="M68" s="134"/>
      <c r="N68" s="119"/>
      <c r="O68" s="120"/>
      <c r="P68" s="120"/>
      <c r="Q68" s="120"/>
      <c r="R68" s="120"/>
      <c r="S68" s="120"/>
      <c r="T68" s="120"/>
      <c r="U68" s="120"/>
      <c r="V68" s="120"/>
      <c r="W68" s="120"/>
    </row>
    <row r="69">
      <c r="A69" s="126">
        <v>46208</v>
      </c>
      <c r="B69" s="134"/>
      <c r="C69" s="135"/>
      <c r="D69" s="134"/>
      <c r="E69" s="135"/>
      <c r="F69" s="134"/>
      <c r="G69" s="135"/>
      <c r="H69" s="134"/>
      <c r="I69" s="135"/>
      <c r="J69" s="134"/>
      <c r="K69" s="134"/>
      <c r="L69" s="135"/>
      <c r="M69" s="134"/>
      <c r="N69" s="119"/>
      <c r="O69" s="120"/>
      <c r="P69" s="120"/>
      <c r="Q69" s="120"/>
      <c r="R69" s="120"/>
      <c r="S69" s="120"/>
      <c r="T69" s="120"/>
      <c r="U69" s="120"/>
      <c r="V69" s="120"/>
      <c r="W69" s="120"/>
    </row>
    <row r="70">
      <c r="A70" s="126">
        <v>46209</v>
      </c>
      <c r="B70" s="134"/>
      <c r="C70" s="135"/>
      <c r="D70" s="134"/>
      <c r="E70" s="135"/>
      <c r="F70" s="134"/>
      <c r="G70" s="135"/>
      <c r="H70" s="134"/>
      <c r="I70" s="135"/>
      <c r="J70" s="134"/>
      <c r="K70" s="134"/>
      <c r="L70" s="135"/>
      <c r="M70" s="134"/>
      <c r="N70" s="119"/>
      <c r="O70" s="120"/>
      <c r="P70" s="120"/>
      <c r="Q70" s="120"/>
      <c r="R70" s="120"/>
      <c r="S70" s="120"/>
      <c r="T70" s="120"/>
      <c r="U70" s="120"/>
      <c r="V70" s="120"/>
      <c r="W70" s="120"/>
    </row>
    <row r="71">
      <c r="A71" s="126">
        <v>46210</v>
      </c>
      <c r="B71" s="134"/>
      <c r="C71" s="135"/>
      <c r="D71" s="134"/>
      <c r="E71" s="135"/>
      <c r="F71" s="134"/>
      <c r="G71" s="135"/>
      <c r="H71" s="134"/>
      <c r="I71" s="135"/>
      <c r="J71" s="134"/>
      <c r="K71" s="134"/>
      <c r="L71" s="135"/>
      <c r="M71" s="134"/>
      <c r="N71" s="119"/>
      <c r="O71" s="120"/>
      <c r="P71" s="120"/>
      <c r="Q71" s="120"/>
      <c r="R71" s="120"/>
      <c r="S71" s="120"/>
      <c r="T71" s="120"/>
      <c r="U71" s="120"/>
      <c r="V71" s="120"/>
      <c r="W71" s="120"/>
    </row>
    <row r="72">
      <c r="A72" s="126">
        <v>46211</v>
      </c>
      <c r="B72" s="134"/>
      <c r="C72" s="135"/>
      <c r="D72" s="134"/>
      <c r="E72" s="135"/>
      <c r="F72" s="134"/>
      <c r="G72" s="135"/>
      <c r="H72" s="134"/>
      <c r="I72" s="135"/>
      <c r="J72" s="134"/>
      <c r="K72" s="134"/>
      <c r="L72" s="135"/>
      <c r="M72" s="134"/>
      <c r="N72" s="119"/>
      <c r="O72" s="120"/>
      <c r="P72" s="120"/>
      <c r="Q72" s="120"/>
      <c r="R72" s="120"/>
      <c r="S72" s="120"/>
      <c r="T72" s="120"/>
      <c r="U72" s="120"/>
      <c r="V72" s="120"/>
      <c r="W72" s="120"/>
    </row>
    <row r="73">
      <c r="A73" s="126">
        <v>46212</v>
      </c>
      <c r="B73" s="134"/>
      <c r="C73" s="135"/>
      <c r="D73" s="134"/>
      <c r="E73" s="135"/>
      <c r="F73" s="134"/>
      <c r="G73" s="135"/>
      <c r="H73" s="134"/>
      <c r="I73" s="135"/>
      <c r="J73" s="134"/>
      <c r="K73" s="134"/>
      <c r="L73" s="135"/>
      <c r="M73" s="134"/>
      <c r="N73" s="119"/>
      <c r="O73" s="120"/>
      <c r="P73" s="120"/>
      <c r="Q73" s="120"/>
      <c r="R73" s="120"/>
      <c r="S73" s="120"/>
      <c r="T73" s="120"/>
      <c r="U73" s="120"/>
      <c r="V73" s="120"/>
      <c r="W73" s="120"/>
    </row>
    <row r="74">
      <c r="A74" s="126">
        <v>46213</v>
      </c>
      <c r="B74" s="134"/>
      <c r="C74" s="135"/>
      <c r="D74" s="134"/>
      <c r="E74" s="135"/>
      <c r="F74" s="134"/>
      <c r="G74" s="135"/>
      <c r="H74" s="134"/>
      <c r="I74" s="135"/>
      <c r="J74" s="134"/>
      <c r="K74" s="134"/>
      <c r="L74" s="135"/>
      <c r="M74" s="134"/>
      <c r="N74" s="119"/>
      <c r="O74" s="120"/>
      <c r="P74" s="120"/>
      <c r="Q74" s="120"/>
      <c r="R74" s="120"/>
      <c r="S74" s="120"/>
      <c r="T74" s="120"/>
      <c r="U74" s="120"/>
      <c r="V74" s="120"/>
      <c r="W74" s="120"/>
    </row>
    <row r="75">
      <c r="A75" s="126">
        <v>46214</v>
      </c>
      <c r="B75" s="134"/>
      <c r="C75" s="135"/>
      <c r="D75" s="134"/>
      <c r="E75" s="135"/>
      <c r="F75" s="134"/>
      <c r="G75" s="135"/>
      <c r="H75" s="134"/>
      <c r="I75" s="135"/>
      <c r="J75" s="134"/>
      <c r="K75" s="134"/>
      <c r="L75" s="135"/>
      <c r="M75" s="134"/>
      <c r="N75" s="119"/>
      <c r="O75" s="120"/>
      <c r="P75" s="120"/>
      <c r="Q75" s="120"/>
      <c r="R75" s="120"/>
      <c r="S75" s="120"/>
      <c r="T75" s="120"/>
      <c r="U75" s="120"/>
      <c r="V75" s="120"/>
      <c r="W75" s="120"/>
    </row>
    <row r="76">
      <c r="A76" s="126">
        <v>46215</v>
      </c>
      <c r="B76" s="134"/>
      <c r="C76" s="135"/>
      <c r="D76" s="134"/>
      <c r="E76" s="135"/>
      <c r="F76" s="134"/>
      <c r="G76" s="135"/>
      <c r="H76" s="134"/>
      <c r="I76" s="135"/>
      <c r="J76" s="134"/>
      <c r="K76" s="134"/>
      <c r="L76" s="135"/>
      <c r="M76" s="134"/>
      <c r="N76" s="119"/>
      <c r="O76" s="120"/>
      <c r="P76" s="120"/>
      <c r="Q76" s="120"/>
      <c r="R76" s="120"/>
      <c r="S76" s="120"/>
      <c r="T76" s="120"/>
      <c r="U76" s="120"/>
      <c r="V76" s="120"/>
      <c r="W76" s="120"/>
    </row>
    <row r="77">
      <c r="A77" s="126">
        <v>46216</v>
      </c>
      <c r="B77" s="134"/>
      <c r="C77" s="135"/>
      <c r="D77" s="134"/>
      <c r="E77" s="135"/>
      <c r="F77" s="134"/>
      <c r="G77" s="135"/>
      <c r="H77" s="134"/>
      <c r="I77" s="135"/>
      <c r="J77" s="134"/>
      <c r="K77" s="134"/>
      <c r="L77" s="135"/>
      <c r="M77" s="134"/>
      <c r="N77" s="119"/>
      <c r="O77" s="120"/>
      <c r="P77" s="120"/>
      <c r="Q77" s="120"/>
      <c r="R77" s="120"/>
      <c r="S77" s="120"/>
      <c r="T77" s="120"/>
      <c r="U77" s="120"/>
      <c r="V77" s="120"/>
      <c r="W77" s="120"/>
    </row>
    <row r="78">
      <c r="A78" s="126">
        <v>46217</v>
      </c>
      <c r="B78" s="134"/>
      <c r="C78" s="135"/>
      <c r="D78" s="134"/>
      <c r="E78" s="135"/>
      <c r="F78" s="134"/>
      <c r="G78" s="135"/>
      <c r="H78" s="134"/>
      <c r="I78" s="135"/>
      <c r="J78" s="134"/>
      <c r="K78" s="134"/>
      <c r="L78" s="135"/>
      <c r="M78" s="134"/>
      <c r="N78" s="119"/>
      <c r="O78" s="120"/>
      <c r="P78" s="120"/>
      <c r="Q78" s="120"/>
      <c r="R78" s="120"/>
      <c r="S78" s="120"/>
      <c r="T78" s="120"/>
      <c r="U78" s="120"/>
      <c r="V78" s="120"/>
      <c r="W78" s="120"/>
    </row>
    <row r="79">
      <c r="A79" s="139"/>
      <c r="B79" s="134"/>
      <c r="C79" s="135"/>
      <c r="D79" s="134"/>
      <c r="E79" s="135"/>
      <c r="F79" s="134"/>
      <c r="G79" s="135"/>
      <c r="H79" s="134"/>
      <c r="I79" s="135"/>
      <c r="J79" s="134"/>
      <c r="K79" s="134"/>
      <c r="L79" s="135"/>
      <c r="M79" s="134"/>
      <c r="N79" s="119"/>
      <c r="O79" s="120"/>
      <c r="P79" s="120"/>
      <c r="Q79" s="120"/>
      <c r="R79" s="120"/>
      <c r="S79" s="120"/>
      <c r="T79" s="120"/>
      <c r="U79" s="120"/>
      <c r="V79" s="120"/>
      <c r="W79" s="120"/>
    </row>
    <row r="80">
      <c r="A80" s="139"/>
      <c r="B80" s="134"/>
      <c r="C80" s="135"/>
      <c r="D80" s="134"/>
      <c r="E80" s="135"/>
      <c r="F80" s="134"/>
      <c r="G80" s="135"/>
      <c r="H80" s="134"/>
      <c r="I80" s="135"/>
      <c r="J80" s="134"/>
      <c r="K80" s="134"/>
      <c r="L80" s="135"/>
      <c r="M80" s="134"/>
      <c r="N80" s="119"/>
      <c r="O80" s="120"/>
      <c r="P80" s="120"/>
      <c r="Q80" s="120"/>
      <c r="R80" s="120"/>
      <c r="S80" s="120"/>
      <c r="T80" s="120"/>
      <c r="U80" s="120"/>
      <c r="V80" s="120"/>
      <c r="W80" s="120"/>
    </row>
    <row r="81">
      <c r="A81" s="139"/>
      <c r="B81" s="134"/>
      <c r="C81" s="135"/>
      <c r="D81" s="134"/>
      <c r="E81" s="135"/>
      <c r="F81" s="134"/>
      <c r="G81" s="135"/>
      <c r="H81" s="134"/>
      <c r="I81" s="135"/>
      <c r="J81" s="134"/>
      <c r="K81" s="134"/>
      <c r="L81" s="135"/>
      <c r="M81" s="134"/>
      <c r="N81" s="119"/>
      <c r="O81" s="120"/>
      <c r="P81" s="120"/>
      <c r="Q81" s="120"/>
      <c r="R81" s="120"/>
      <c r="S81" s="120"/>
      <c r="T81" s="120"/>
      <c r="U81" s="120"/>
      <c r="V81" s="120"/>
      <c r="W81" s="120"/>
    </row>
    <row r="82">
      <c r="A82" s="139"/>
      <c r="B82" s="134"/>
      <c r="C82" s="135"/>
      <c r="D82" s="134"/>
      <c r="E82" s="135"/>
      <c r="F82" s="134"/>
      <c r="G82" s="135"/>
      <c r="H82" s="134"/>
      <c r="I82" s="135"/>
      <c r="J82" s="134"/>
      <c r="K82" s="134"/>
      <c r="L82" s="135"/>
      <c r="M82" s="134"/>
      <c r="N82" s="119"/>
      <c r="O82" s="120"/>
      <c r="P82" s="120"/>
      <c r="Q82" s="120"/>
      <c r="R82" s="120"/>
      <c r="S82" s="120"/>
      <c r="T82" s="120"/>
      <c r="U82" s="120"/>
      <c r="V82" s="120"/>
      <c r="W82" s="120"/>
    </row>
    <row r="83">
      <c r="A83" s="139"/>
      <c r="B83" s="134"/>
      <c r="C83" s="135"/>
      <c r="D83" s="134"/>
      <c r="E83" s="135"/>
      <c r="F83" s="134"/>
      <c r="G83" s="135"/>
      <c r="H83" s="134"/>
      <c r="I83" s="135"/>
      <c r="J83" s="134"/>
      <c r="K83" s="134"/>
      <c r="L83" s="135"/>
      <c r="M83" s="134"/>
      <c r="N83" s="119"/>
      <c r="O83" s="120"/>
      <c r="P83" s="120"/>
      <c r="Q83" s="120"/>
      <c r="R83" s="120"/>
      <c r="S83" s="120"/>
      <c r="T83" s="120"/>
      <c r="U83" s="120"/>
      <c r="V83" s="120"/>
      <c r="W83" s="120"/>
    </row>
    <row r="84">
      <c r="A84" s="139"/>
      <c r="B84" s="134"/>
      <c r="C84" s="135"/>
      <c r="D84" s="134"/>
      <c r="E84" s="135"/>
      <c r="F84" s="134"/>
      <c r="G84" s="135"/>
      <c r="H84" s="134"/>
      <c r="I84" s="135"/>
      <c r="J84" s="134"/>
      <c r="K84" s="134"/>
      <c r="L84" s="135"/>
      <c r="M84" s="134"/>
      <c r="N84" s="119"/>
      <c r="O84" s="120"/>
      <c r="P84" s="120"/>
      <c r="Q84" s="120"/>
      <c r="R84" s="120"/>
      <c r="S84" s="120"/>
      <c r="T84" s="120"/>
      <c r="U84" s="120"/>
      <c r="V84" s="120"/>
      <c r="W84" s="120"/>
    </row>
    <row r="85">
      <c r="A85" s="139"/>
      <c r="B85" s="134"/>
      <c r="C85" s="135"/>
      <c r="D85" s="134"/>
      <c r="E85" s="135"/>
      <c r="F85" s="134"/>
      <c r="G85" s="135"/>
      <c r="H85" s="134"/>
      <c r="I85" s="135"/>
      <c r="J85" s="134"/>
      <c r="K85" s="134"/>
      <c r="L85" s="135"/>
      <c r="M85" s="134"/>
      <c r="N85" s="119"/>
      <c r="O85" s="120"/>
      <c r="P85" s="120"/>
      <c r="Q85" s="120"/>
      <c r="R85" s="120"/>
      <c r="S85" s="120"/>
      <c r="T85" s="120"/>
      <c r="U85" s="120"/>
      <c r="V85" s="120"/>
      <c r="W85" s="120"/>
    </row>
    <row r="86">
      <c r="A86" s="139"/>
      <c r="B86" s="134"/>
      <c r="C86" s="135"/>
      <c r="D86" s="134"/>
      <c r="E86" s="135"/>
      <c r="F86" s="134"/>
      <c r="G86" s="135"/>
      <c r="H86" s="134"/>
      <c r="I86" s="135"/>
      <c r="J86" s="134"/>
      <c r="K86" s="134"/>
      <c r="L86" s="135"/>
      <c r="M86" s="134"/>
      <c r="N86" s="119"/>
      <c r="O86" s="120"/>
      <c r="P86" s="120"/>
      <c r="Q86" s="120"/>
      <c r="R86" s="120"/>
      <c r="S86" s="120"/>
      <c r="T86" s="120"/>
      <c r="U86" s="120"/>
      <c r="V86" s="120"/>
      <c r="W86" s="120"/>
    </row>
    <row r="87">
      <c r="A87" s="139"/>
      <c r="B87" s="134"/>
      <c r="C87" s="135"/>
      <c r="D87" s="134"/>
      <c r="E87" s="135"/>
      <c r="F87" s="134"/>
      <c r="G87" s="135"/>
      <c r="H87" s="134"/>
      <c r="I87" s="135"/>
      <c r="J87" s="134"/>
      <c r="K87" s="134"/>
      <c r="L87" s="135"/>
      <c r="M87" s="134"/>
      <c r="N87" s="119"/>
      <c r="O87" s="120"/>
      <c r="P87" s="120"/>
      <c r="Q87" s="120"/>
      <c r="R87" s="120"/>
      <c r="S87" s="120"/>
      <c r="T87" s="120"/>
      <c r="U87" s="120"/>
      <c r="V87" s="120"/>
      <c r="W87" s="120"/>
    </row>
    <row r="88">
      <c r="A88" s="139"/>
      <c r="B88" s="134"/>
      <c r="C88" s="135"/>
      <c r="D88" s="134"/>
      <c r="E88" s="135"/>
      <c r="F88" s="134"/>
      <c r="G88" s="135"/>
      <c r="H88" s="134"/>
      <c r="I88" s="135"/>
      <c r="J88" s="134"/>
      <c r="K88" s="134"/>
      <c r="L88" s="135"/>
      <c r="M88" s="134"/>
      <c r="N88" s="119"/>
      <c r="O88" s="120"/>
      <c r="P88" s="120"/>
      <c r="Q88" s="120"/>
      <c r="R88" s="120"/>
      <c r="S88" s="120"/>
      <c r="T88" s="120"/>
      <c r="U88" s="120"/>
      <c r="V88" s="120"/>
      <c r="W88" s="120"/>
    </row>
    <row r="89">
      <c r="A89" s="139"/>
      <c r="B89" s="134"/>
      <c r="C89" s="135"/>
      <c r="D89" s="134"/>
      <c r="E89" s="135"/>
      <c r="F89" s="134"/>
      <c r="G89" s="135"/>
      <c r="H89" s="134"/>
      <c r="I89" s="135"/>
      <c r="J89" s="134"/>
      <c r="K89" s="134"/>
      <c r="L89" s="135"/>
      <c r="M89" s="134"/>
      <c r="N89" s="119"/>
      <c r="O89" s="120"/>
      <c r="P89" s="120"/>
      <c r="Q89" s="120"/>
      <c r="R89" s="120"/>
      <c r="S89" s="120"/>
      <c r="T89" s="120"/>
      <c r="U89" s="120"/>
      <c r="V89" s="120"/>
      <c r="W89" s="120"/>
    </row>
    <row r="90">
      <c r="A90" s="139"/>
      <c r="B90" s="134"/>
      <c r="C90" s="135"/>
      <c r="D90" s="134"/>
      <c r="E90" s="135"/>
      <c r="F90" s="134"/>
      <c r="G90" s="135"/>
      <c r="H90" s="134"/>
      <c r="I90" s="135"/>
      <c r="J90" s="134"/>
      <c r="K90" s="134"/>
      <c r="L90" s="135"/>
      <c r="M90" s="134"/>
      <c r="N90" s="119"/>
      <c r="O90" s="120"/>
      <c r="P90" s="120"/>
      <c r="Q90" s="120"/>
      <c r="R90" s="120"/>
      <c r="S90" s="120"/>
      <c r="T90" s="120"/>
      <c r="U90" s="120"/>
      <c r="V90" s="120"/>
      <c r="W90" s="120"/>
    </row>
    <row r="91">
      <c r="A91" s="139"/>
      <c r="B91" s="134"/>
      <c r="C91" s="135"/>
      <c r="D91" s="134"/>
      <c r="E91" s="135"/>
      <c r="F91" s="134"/>
      <c r="G91" s="135"/>
      <c r="H91" s="134"/>
      <c r="I91" s="135"/>
      <c r="J91" s="134"/>
      <c r="K91" s="134"/>
      <c r="L91" s="135"/>
      <c r="M91" s="134"/>
      <c r="N91" s="119"/>
      <c r="O91" s="120"/>
      <c r="P91" s="120"/>
      <c r="Q91" s="120"/>
      <c r="R91" s="120"/>
      <c r="S91" s="120"/>
      <c r="T91" s="120"/>
      <c r="U91" s="120"/>
      <c r="V91" s="120"/>
      <c r="W91" s="120"/>
    </row>
    <row r="92">
      <c r="A92" s="139"/>
      <c r="B92" s="134"/>
      <c r="C92" s="135"/>
      <c r="D92" s="134"/>
      <c r="E92" s="135"/>
      <c r="F92" s="134"/>
      <c r="G92" s="135"/>
      <c r="H92" s="134"/>
      <c r="I92" s="135"/>
      <c r="J92" s="134"/>
      <c r="K92" s="134"/>
      <c r="L92" s="135"/>
      <c r="M92" s="134"/>
      <c r="N92" s="119"/>
      <c r="O92" s="120"/>
      <c r="P92" s="120"/>
      <c r="Q92" s="120"/>
      <c r="R92" s="120"/>
      <c r="S92" s="120"/>
      <c r="T92" s="120"/>
      <c r="U92" s="120"/>
      <c r="V92" s="120"/>
      <c r="W92" s="120"/>
    </row>
    <row r="93">
      <c r="A93" s="139"/>
      <c r="B93" s="134"/>
      <c r="C93" s="135"/>
      <c r="D93" s="134"/>
      <c r="E93" s="135"/>
      <c r="F93" s="134"/>
      <c r="G93" s="135"/>
      <c r="H93" s="134"/>
      <c r="I93" s="135"/>
      <c r="J93" s="134"/>
      <c r="K93" s="134"/>
      <c r="L93" s="135"/>
      <c r="M93" s="134"/>
      <c r="N93" s="119"/>
      <c r="O93" s="120"/>
      <c r="P93" s="120"/>
      <c r="Q93" s="120"/>
      <c r="R93" s="120"/>
      <c r="S93" s="120"/>
      <c r="T93" s="120"/>
      <c r="U93" s="120"/>
      <c r="V93" s="120"/>
      <c r="W93" s="120"/>
    </row>
    <row r="94">
      <c r="A94" s="139"/>
      <c r="B94" s="134"/>
      <c r="C94" s="135"/>
      <c r="D94" s="134"/>
      <c r="E94" s="135"/>
      <c r="F94" s="134"/>
      <c r="G94" s="135"/>
      <c r="H94" s="134"/>
      <c r="I94" s="135"/>
      <c r="J94" s="134"/>
      <c r="K94" s="134"/>
      <c r="L94" s="135"/>
      <c r="M94" s="134"/>
      <c r="N94" s="119"/>
      <c r="O94" s="120"/>
      <c r="P94" s="120"/>
      <c r="Q94" s="120"/>
      <c r="R94" s="120"/>
      <c r="S94" s="120"/>
      <c r="T94" s="120"/>
      <c r="U94" s="120"/>
      <c r="V94" s="120"/>
      <c r="W94" s="120"/>
    </row>
    <row r="95">
      <c r="A95" s="139"/>
      <c r="B95" s="134"/>
      <c r="C95" s="135"/>
      <c r="D95" s="134"/>
      <c r="E95" s="135"/>
      <c r="F95" s="134"/>
      <c r="G95" s="135"/>
      <c r="H95" s="134"/>
      <c r="I95" s="135"/>
      <c r="J95" s="134"/>
      <c r="K95" s="134"/>
      <c r="L95" s="135"/>
      <c r="M95" s="134"/>
      <c r="N95" s="119"/>
      <c r="O95" s="120"/>
      <c r="P95" s="120"/>
      <c r="Q95" s="120"/>
      <c r="R95" s="120"/>
      <c r="S95" s="120"/>
      <c r="T95" s="120"/>
      <c r="U95" s="120"/>
      <c r="V95" s="120"/>
      <c r="W95" s="120"/>
    </row>
    <row r="96">
      <c r="A96" s="139"/>
      <c r="B96" s="134"/>
      <c r="C96" s="135"/>
      <c r="D96" s="134"/>
      <c r="E96" s="135"/>
      <c r="F96" s="134"/>
      <c r="G96" s="135"/>
      <c r="H96" s="134"/>
      <c r="I96" s="135"/>
      <c r="J96" s="134"/>
      <c r="K96" s="134"/>
      <c r="L96" s="135"/>
      <c r="M96" s="134"/>
      <c r="N96" s="119"/>
      <c r="O96" s="120"/>
      <c r="P96" s="120"/>
      <c r="Q96" s="120"/>
      <c r="R96" s="120"/>
      <c r="S96" s="120"/>
      <c r="T96" s="120"/>
      <c r="U96" s="120"/>
      <c r="V96" s="120"/>
      <c r="W96" s="120"/>
    </row>
    <row r="97">
      <c r="A97" s="139"/>
      <c r="B97" s="134"/>
      <c r="C97" s="135"/>
      <c r="D97" s="134"/>
      <c r="E97" s="135"/>
      <c r="F97" s="134"/>
      <c r="G97" s="135"/>
      <c r="H97" s="134"/>
      <c r="I97" s="135"/>
      <c r="J97" s="134"/>
      <c r="K97" s="134"/>
      <c r="L97" s="135"/>
      <c r="M97" s="134"/>
      <c r="N97" s="119"/>
      <c r="O97" s="120"/>
      <c r="P97" s="120"/>
      <c r="Q97" s="120"/>
      <c r="R97" s="120"/>
      <c r="S97" s="120"/>
      <c r="T97" s="120"/>
      <c r="U97" s="120"/>
      <c r="V97" s="120"/>
      <c r="W97" s="120"/>
    </row>
    <row r="98">
      <c r="A98" s="139"/>
      <c r="B98" s="134"/>
      <c r="C98" s="135"/>
      <c r="D98" s="134"/>
      <c r="E98" s="135"/>
      <c r="F98" s="134"/>
      <c r="G98" s="135"/>
      <c r="H98" s="134"/>
      <c r="I98" s="135"/>
      <c r="J98" s="134"/>
      <c r="K98" s="134"/>
      <c r="L98" s="135"/>
      <c r="M98" s="134"/>
      <c r="N98" s="119"/>
      <c r="O98" s="120"/>
      <c r="P98" s="120"/>
      <c r="Q98" s="120"/>
      <c r="R98" s="120"/>
      <c r="S98" s="120"/>
      <c r="T98" s="120"/>
      <c r="U98" s="120"/>
      <c r="V98" s="120"/>
      <c r="W98" s="120"/>
    </row>
    <row r="99">
      <c r="A99" s="139"/>
      <c r="B99" s="134"/>
      <c r="C99" s="135"/>
      <c r="D99" s="134"/>
      <c r="E99" s="135"/>
      <c r="F99" s="134"/>
      <c r="G99" s="135"/>
      <c r="H99" s="134"/>
      <c r="I99" s="135"/>
      <c r="J99" s="134"/>
      <c r="K99" s="134"/>
      <c r="L99" s="135"/>
      <c r="M99" s="134"/>
      <c r="N99" s="119"/>
      <c r="O99" s="120"/>
      <c r="P99" s="120"/>
      <c r="Q99" s="120"/>
      <c r="R99" s="120"/>
      <c r="S99" s="120"/>
      <c r="T99" s="120"/>
      <c r="U99" s="120"/>
      <c r="V99" s="120"/>
      <c r="W99" s="120"/>
    </row>
    <row r="100">
      <c r="A100" s="139"/>
      <c r="B100" s="134"/>
      <c r="C100" s="135"/>
      <c r="D100" s="134"/>
      <c r="E100" s="135"/>
      <c r="F100" s="134"/>
      <c r="G100" s="135"/>
      <c r="H100" s="134"/>
      <c r="I100" s="135"/>
      <c r="J100" s="134"/>
      <c r="K100" s="134"/>
      <c r="L100" s="135"/>
      <c r="M100" s="134"/>
      <c r="N100" s="119"/>
      <c r="O100" s="120"/>
      <c r="P100" s="120"/>
      <c r="Q100" s="120"/>
      <c r="R100" s="120"/>
      <c r="S100" s="120"/>
      <c r="T100" s="120"/>
      <c r="U100" s="120"/>
      <c r="V100" s="120"/>
      <c r="W100" s="120"/>
    </row>
    <row r="101">
      <c r="A101" s="139"/>
      <c r="B101" s="134"/>
      <c r="C101" s="135"/>
      <c r="D101" s="134"/>
      <c r="E101" s="135"/>
      <c r="F101" s="134"/>
      <c r="G101" s="135"/>
      <c r="H101" s="134"/>
      <c r="I101" s="135"/>
      <c r="J101" s="134"/>
      <c r="K101" s="134"/>
      <c r="L101" s="135"/>
      <c r="M101" s="134"/>
      <c r="N101" s="119"/>
      <c r="O101" s="120"/>
      <c r="P101" s="120"/>
      <c r="Q101" s="120"/>
      <c r="R101" s="120"/>
      <c r="S101" s="120"/>
      <c r="T101" s="120"/>
      <c r="U101" s="120"/>
      <c r="V101" s="120"/>
      <c r="W101" s="120"/>
    </row>
    <row r="102">
      <c r="A102" s="139"/>
      <c r="B102" s="134"/>
      <c r="C102" s="135"/>
      <c r="D102" s="134"/>
      <c r="E102" s="135"/>
      <c r="F102" s="134"/>
      <c r="G102" s="135"/>
      <c r="H102" s="134"/>
      <c r="I102" s="135"/>
      <c r="J102" s="134"/>
      <c r="K102" s="134"/>
      <c r="L102" s="135"/>
      <c r="M102" s="134"/>
      <c r="N102" s="119"/>
      <c r="O102" s="120"/>
      <c r="P102" s="120"/>
      <c r="Q102" s="120"/>
      <c r="R102" s="120"/>
      <c r="S102" s="120"/>
      <c r="T102" s="120"/>
      <c r="U102" s="120"/>
      <c r="V102" s="120"/>
      <c r="W102" s="120"/>
    </row>
    <row r="103">
      <c r="A103" s="139"/>
      <c r="B103" s="134"/>
      <c r="C103" s="135"/>
      <c r="D103" s="134"/>
      <c r="E103" s="135"/>
      <c r="F103" s="134"/>
      <c r="G103" s="135"/>
      <c r="H103" s="134"/>
      <c r="I103" s="135"/>
      <c r="J103" s="134"/>
      <c r="K103" s="134"/>
      <c r="L103" s="135"/>
      <c r="M103" s="134"/>
      <c r="N103" s="119"/>
      <c r="O103" s="120"/>
      <c r="P103" s="120"/>
      <c r="Q103" s="120"/>
      <c r="R103" s="120"/>
      <c r="S103" s="120"/>
      <c r="T103" s="120"/>
      <c r="U103" s="120"/>
      <c r="V103" s="120"/>
      <c r="W103" s="120"/>
    </row>
    <row r="104">
      <c r="A104" s="139"/>
      <c r="B104" s="134"/>
      <c r="C104" s="135"/>
      <c r="D104" s="134"/>
      <c r="E104" s="135"/>
      <c r="F104" s="134"/>
      <c r="G104" s="135"/>
      <c r="H104" s="134"/>
      <c r="I104" s="135"/>
      <c r="J104" s="134"/>
      <c r="K104" s="134"/>
      <c r="L104" s="135"/>
      <c r="M104" s="134"/>
      <c r="N104" s="119"/>
      <c r="O104" s="120"/>
      <c r="P104" s="120"/>
      <c r="Q104" s="120"/>
      <c r="R104" s="120"/>
      <c r="S104" s="120"/>
      <c r="T104" s="120"/>
      <c r="U104" s="120"/>
      <c r="V104" s="120"/>
      <c r="W104" s="120"/>
    </row>
    <row r="105">
      <c r="A105" s="139"/>
      <c r="B105" s="134"/>
      <c r="C105" s="135"/>
      <c r="D105" s="134"/>
      <c r="E105" s="135"/>
      <c r="F105" s="134"/>
      <c r="G105" s="135"/>
      <c r="H105" s="134"/>
      <c r="I105" s="135"/>
      <c r="J105" s="134"/>
      <c r="K105" s="134"/>
      <c r="L105" s="135"/>
      <c r="M105" s="134"/>
      <c r="N105" s="119"/>
      <c r="O105" s="120"/>
      <c r="P105" s="120"/>
      <c r="Q105" s="120"/>
      <c r="R105" s="120"/>
      <c r="S105" s="120"/>
      <c r="T105" s="120"/>
      <c r="U105" s="120"/>
      <c r="V105" s="120"/>
      <c r="W105" s="120"/>
    </row>
    <row r="106">
      <c r="A106" s="139"/>
      <c r="B106" s="134"/>
      <c r="C106" s="135"/>
      <c r="D106" s="134"/>
      <c r="E106" s="135"/>
      <c r="F106" s="134"/>
      <c r="G106" s="135"/>
      <c r="H106" s="134"/>
      <c r="I106" s="135"/>
      <c r="J106" s="134"/>
      <c r="K106" s="134"/>
      <c r="L106" s="135"/>
      <c r="M106" s="134"/>
      <c r="N106" s="119"/>
      <c r="O106" s="120"/>
      <c r="P106" s="120"/>
      <c r="Q106" s="120"/>
      <c r="R106" s="120"/>
      <c r="S106" s="120"/>
      <c r="T106" s="120"/>
      <c r="U106" s="120"/>
      <c r="V106" s="120"/>
      <c r="W106" s="120"/>
    </row>
    <row r="107">
      <c r="A107" s="139"/>
      <c r="B107" s="134"/>
      <c r="C107" s="135"/>
      <c r="D107" s="134"/>
      <c r="E107" s="135"/>
      <c r="F107" s="134"/>
      <c r="G107" s="135"/>
      <c r="H107" s="134"/>
      <c r="I107" s="135"/>
      <c r="J107" s="134"/>
      <c r="K107" s="134"/>
      <c r="L107" s="135"/>
      <c r="M107" s="134"/>
      <c r="N107" s="119"/>
      <c r="O107" s="120"/>
      <c r="P107" s="120"/>
      <c r="Q107" s="120"/>
      <c r="R107" s="120"/>
      <c r="S107" s="120"/>
      <c r="T107" s="120"/>
      <c r="U107" s="120"/>
      <c r="V107" s="120"/>
      <c r="W107" s="120"/>
    </row>
    <row r="108">
      <c r="A108" s="139"/>
      <c r="B108" s="134"/>
      <c r="C108" s="135"/>
      <c r="D108" s="134"/>
      <c r="E108" s="135"/>
      <c r="F108" s="134"/>
      <c r="G108" s="135"/>
      <c r="H108" s="134"/>
      <c r="I108" s="135"/>
      <c r="J108" s="134"/>
      <c r="K108" s="134"/>
      <c r="L108" s="135"/>
      <c r="M108" s="134"/>
      <c r="N108" s="119"/>
      <c r="O108" s="120"/>
      <c r="P108" s="120"/>
      <c r="Q108" s="120"/>
      <c r="R108" s="120"/>
      <c r="S108" s="120"/>
      <c r="T108" s="120"/>
      <c r="U108" s="120"/>
      <c r="V108" s="120"/>
      <c r="W108" s="120"/>
    </row>
    <row r="109">
      <c r="A109" s="139"/>
      <c r="B109" s="134"/>
      <c r="C109" s="135"/>
      <c r="D109" s="134"/>
      <c r="E109" s="135"/>
      <c r="F109" s="134"/>
      <c r="G109" s="135"/>
      <c r="H109" s="134"/>
      <c r="I109" s="135"/>
      <c r="J109" s="134"/>
      <c r="K109" s="134"/>
      <c r="L109" s="135"/>
      <c r="M109" s="134"/>
      <c r="N109" s="119"/>
      <c r="O109" s="120"/>
      <c r="P109" s="120"/>
      <c r="Q109" s="120"/>
      <c r="R109" s="120"/>
      <c r="S109" s="120"/>
      <c r="T109" s="120"/>
      <c r="U109" s="120"/>
      <c r="V109" s="120"/>
      <c r="W109" s="120"/>
    </row>
    <row r="110">
      <c r="A110" s="139"/>
      <c r="B110" s="134"/>
      <c r="C110" s="135"/>
      <c r="D110" s="134"/>
      <c r="E110" s="135"/>
      <c r="F110" s="134"/>
      <c r="G110" s="135"/>
      <c r="H110" s="134"/>
      <c r="I110" s="135"/>
      <c r="J110" s="134"/>
      <c r="K110" s="134"/>
      <c r="L110" s="135"/>
      <c r="M110" s="134"/>
      <c r="N110" s="119"/>
      <c r="O110" s="120"/>
      <c r="P110" s="120"/>
      <c r="Q110" s="120"/>
      <c r="R110" s="120"/>
      <c r="S110" s="120"/>
      <c r="T110" s="120"/>
      <c r="U110" s="120"/>
      <c r="V110" s="120"/>
      <c r="W110" s="120"/>
    </row>
    <row r="111">
      <c r="A111" s="139"/>
      <c r="B111" s="134"/>
      <c r="C111" s="135"/>
      <c r="D111" s="134"/>
      <c r="E111" s="135"/>
      <c r="F111" s="134"/>
      <c r="G111" s="135"/>
      <c r="H111" s="134"/>
      <c r="I111" s="135"/>
      <c r="J111" s="134"/>
      <c r="K111" s="134"/>
      <c r="L111" s="135"/>
      <c r="M111" s="134"/>
      <c r="N111" s="119"/>
      <c r="O111" s="120"/>
      <c r="P111" s="120"/>
      <c r="Q111" s="120"/>
      <c r="R111" s="120"/>
      <c r="S111" s="120"/>
      <c r="T111" s="120"/>
      <c r="U111" s="120"/>
      <c r="V111" s="120"/>
      <c r="W111" s="120"/>
    </row>
    <row r="112">
      <c r="A112" s="139"/>
      <c r="B112" s="134"/>
      <c r="C112" s="135"/>
      <c r="D112" s="134"/>
      <c r="E112" s="135"/>
      <c r="F112" s="134"/>
      <c r="G112" s="135"/>
      <c r="H112" s="134"/>
      <c r="I112" s="135"/>
      <c r="J112" s="134"/>
      <c r="K112" s="134"/>
      <c r="L112" s="135"/>
      <c r="M112" s="134"/>
      <c r="N112" s="119"/>
      <c r="O112" s="120"/>
      <c r="P112" s="120"/>
      <c r="Q112" s="120"/>
      <c r="R112" s="120"/>
      <c r="S112" s="120"/>
      <c r="T112" s="120"/>
      <c r="U112" s="120"/>
      <c r="V112" s="120"/>
      <c r="W112" s="120"/>
    </row>
    <row r="113">
      <c r="A113" s="139"/>
      <c r="B113" s="134"/>
      <c r="C113" s="135"/>
      <c r="D113" s="134"/>
      <c r="E113" s="135"/>
      <c r="F113" s="134"/>
      <c r="G113" s="135"/>
      <c r="H113" s="134"/>
      <c r="I113" s="135"/>
      <c r="J113" s="134"/>
      <c r="K113" s="134"/>
      <c r="L113" s="135"/>
      <c r="M113" s="134"/>
      <c r="N113" s="119"/>
      <c r="O113" s="120"/>
      <c r="P113" s="120"/>
      <c r="Q113" s="120"/>
      <c r="R113" s="120"/>
      <c r="S113" s="120"/>
      <c r="T113" s="120"/>
      <c r="U113" s="120"/>
      <c r="V113" s="120"/>
      <c r="W113" s="120"/>
    </row>
    <row r="114">
      <c r="A114" s="139"/>
      <c r="B114" s="134"/>
      <c r="C114" s="135"/>
      <c r="D114" s="134"/>
      <c r="E114" s="135"/>
      <c r="F114" s="134"/>
      <c r="G114" s="135"/>
      <c r="H114" s="134"/>
      <c r="I114" s="135"/>
      <c r="J114" s="134"/>
      <c r="K114" s="134"/>
      <c r="L114" s="135"/>
      <c r="M114" s="134"/>
      <c r="N114" s="119"/>
      <c r="O114" s="120"/>
      <c r="P114" s="120"/>
      <c r="Q114" s="120"/>
      <c r="R114" s="120"/>
      <c r="S114" s="120"/>
      <c r="T114" s="120"/>
      <c r="U114" s="120"/>
      <c r="V114" s="120"/>
      <c r="W114" s="120"/>
    </row>
    <row r="115">
      <c r="A115" s="139"/>
      <c r="B115" s="134"/>
      <c r="C115" s="135"/>
      <c r="D115" s="134"/>
      <c r="E115" s="135"/>
      <c r="F115" s="134"/>
      <c r="G115" s="135"/>
      <c r="H115" s="134"/>
      <c r="I115" s="135"/>
      <c r="J115" s="134"/>
      <c r="K115" s="134"/>
      <c r="L115" s="135"/>
      <c r="M115" s="134"/>
      <c r="N115" s="119"/>
      <c r="O115" s="120"/>
      <c r="P115" s="120"/>
      <c r="Q115" s="120"/>
      <c r="R115" s="120"/>
      <c r="S115" s="120"/>
      <c r="T115" s="120"/>
      <c r="U115" s="120"/>
      <c r="V115" s="120"/>
      <c r="W115" s="120"/>
    </row>
    <row r="116">
      <c r="A116" s="139"/>
      <c r="B116" s="134"/>
      <c r="C116" s="135"/>
      <c r="D116" s="134"/>
      <c r="E116" s="135"/>
      <c r="F116" s="134"/>
      <c r="G116" s="135"/>
      <c r="H116" s="134"/>
      <c r="I116" s="135"/>
      <c r="J116" s="134"/>
      <c r="K116" s="134"/>
      <c r="L116" s="135"/>
      <c r="M116" s="134"/>
      <c r="N116" s="119"/>
      <c r="O116" s="120"/>
      <c r="P116" s="120"/>
      <c r="Q116" s="120"/>
      <c r="R116" s="120"/>
      <c r="S116" s="120"/>
      <c r="T116" s="120"/>
      <c r="U116" s="120"/>
      <c r="V116" s="120"/>
      <c r="W116" s="120"/>
    </row>
    <row r="117">
      <c r="A117" s="139"/>
      <c r="B117" s="134"/>
      <c r="C117" s="135"/>
      <c r="D117" s="134"/>
      <c r="E117" s="135"/>
      <c r="F117" s="134"/>
      <c r="G117" s="135"/>
      <c r="H117" s="134"/>
      <c r="I117" s="135"/>
      <c r="J117" s="134"/>
      <c r="K117" s="134"/>
      <c r="L117" s="135"/>
      <c r="M117" s="134"/>
      <c r="N117" s="119"/>
      <c r="O117" s="120"/>
      <c r="P117" s="120"/>
      <c r="Q117" s="120"/>
      <c r="R117" s="120"/>
      <c r="S117" s="120"/>
      <c r="T117" s="120"/>
      <c r="U117" s="120"/>
      <c r="V117" s="120"/>
      <c r="W117" s="120"/>
    </row>
    <row r="118">
      <c r="A118" s="139"/>
      <c r="B118" s="134"/>
      <c r="C118" s="135"/>
      <c r="D118" s="134"/>
      <c r="E118" s="135"/>
      <c r="F118" s="134"/>
      <c r="G118" s="135"/>
      <c r="H118" s="134"/>
      <c r="I118" s="135"/>
      <c r="J118" s="134"/>
      <c r="K118" s="134"/>
      <c r="L118" s="135"/>
      <c r="M118" s="134"/>
      <c r="N118" s="119"/>
      <c r="O118" s="120"/>
      <c r="P118" s="120"/>
      <c r="Q118" s="120"/>
      <c r="R118" s="120"/>
      <c r="S118" s="120"/>
      <c r="T118" s="120"/>
      <c r="U118" s="120"/>
      <c r="V118" s="120"/>
      <c r="W118" s="120"/>
    </row>
    <row r="119">
      <c r="A119" s="139"/>
      <c r="B119" s="134"/>
      <c r="C119" s="135"/>
      <c r="D119" s="134"/>
      <c r="E119" s="135"/>
      <c r="F119" s="134"/>
      <c r="G119" s="135"/>
      <c r="H119" s="134"/>
      <c r="I119" s="135"/>
      <c r="J119" s="134"/>
      <c r="K119" s="134"/>
      <c r="L119" s="135"/>
      <c r="M119" s="134"/>
      <c r="N119" s="119"/>
      <c r="O119" s="120"/>
      <c r="P119" s="120"/>
      <c r="Q119" s="120"/>
      <c r="R119" s="120"/>
      <c r="S119" s="120"/>
      <c r="T119" s="120"/>
      <c r="U119" s="120"/>
      <c r="V119" s="120"/>
      <c r="W119" s="120"/>
    </row>
    <row r="120">
      <c r="A120" s="139"/>
      <c r="B120" s="134"/>
      <c r="C120" s="135"/>
      <c r="D120" s="134"/>
      <c r="E120" s="135"/>
      <c r="F120" s="134"/>
      <c r="G120" s="135"/>
      <c r="H120" s="134"/>
      <c r="I120" s="135"/>
      <c r="J120" s="134"/>
      <c r="K120" s="134"/>
      <c r="L120" s="135"/>
      <c r="M120" s="134"/>
      <c r="N120" s="119"/>
      <c r="O120" s="120"/>
      <c r="P120" s="120"/>
      <c r="Q120" s="120"/>
      <c r="R120" s="120"/>
      <c r="S120" s="120"/>
      <c r="T120" s="120"/>
      <c r="U120" s="120"/>
      <c r="V120" s="120"/>
      <c r="W120" s="120"/>
    </row>
    <row r="121">
      <c r="A121" s="139"/>
      <c r="B121" s="134"/>
      <c r="C121" s="135"/>
      <c r="D121" s="134"/>
      <c r="E121" s="135"/>
      <c r="F121" s="134"/>
      <c r="G121" s="135"/>
      <c r="H121" s="134"/>
      <c r="I121" s="135"/>
      <c r="J121" s="134"/>
      <c r="K121" s="134"/>
      <c r="L121" s="135"/>
      <c r="M121" s="134"/>
      <c r="N121" s="119"/>
      <c r="O121" s="120"/>
      <c r="P121" s="120"/>
      <c r="Q121" s="120"/>
      <c r="R121" s="120"/>
      <c r="S121" s="120"/>
      <c r="T121" s="120"/>
      <c r="U121" s="120"/>
      <c r="V121" s="120"/>
      <c r="W121" s="120"/>
    </row>
    <row r="122">
      <c r="A122" s="139"/>
      <c r="B122" s="134"/>
      <c r="C122" s="135"/>
      <c r="D122" s="134"/>
      <c r="E122" s="135"/>
      <c r="F122" s="134"/>
      <c r="G122" s="135"/>
      <c r="H122" s="134"/>
      <c r="I122" s="135"/>
      <c r="J122" s="134"/>
      <c r="K122" s="134"/>
      <c r="L122" s="135"/>
      <c r="M122" s="134"/>
      <c r="N122" s="119"/>
      <c r="O122" s="120"/>
      <c r="P122" s="120"/>
      <c r="Q122" s="120"/>
      <c r="R122" s="120"/>
      <c r="S122" s="120"/>
      <c r="T122" s="120"/>
      <c r="U122" s="120"/>
      <c r="V122" s="120"/>
      <c r="W122" s="120"/>
    </row>
    <row r="123">
      <c r="A123" s="139"/>
      <c r="B123" s="134"/>
      <c r="C123" s="135"/>
      <c r="D123" s="134"/>
      <c r="E123" s="135"/>
      <c r="F123" s="134"/>
      <c r="G123" s="135"/>
      <c r="H123" s="134"/>
      <c r="I123" s="135"/>
      <c r="J123" s="134"/>
      <c r="K123" s="134"/>
      <c r="L123" s="135"/>
      <c r="M123" s="134"/>
      <c r="N123" s="119"/>
      <c r="O123" s="120"/>
      <c r="P123" s="120"/>
      <c r="Q123" s="120"/>
      <c r="R123" s="120"/>
      <c r="S123" s="120"/>
      <c r="T123" s="120"/>
      <c r="U123" s="120"/>
      <c r="V123" s="120"/>
      <c r="W123" s="120"/>
    </row>
    <row r="124">
      <c r="A124" s="139"/>
      <c r="B124" s="134"/>
      <c r="C124" s="135"/>
      <c r="D124" s="134"/>
      <c r="E124" s="135"/>
      <c r="F124" s="134"/>
      <c r="G124" s="135"/>
      <c r="H124" s="134"/>
      <c r="I124" s="135"/>
      <c r="J124" s="134"/>
      <c r="K124" s="134"/>
      <c r="L124" s="135"/>
      <c r="M124" s="134"/>
      <c r="N124" s="119"/>
      <c r="O124" s="120"/>
      <c r="P124" s="120"/>
      <c r="Q124" s="120"/>
      <c r="R124" s="120"/>
      <c r="S124" s="120"/>
      <c r="T124" s="120"/>
      <c r="U124" s="120"/>
      <c r="V124" s="120"/>
      <c r="W124" s="120"/>
    </row>
    <row r="125">
      <c r="A125" s="139"/>
      <c r="B125" s="134"/>
      <c r="C125" s="135"/>
      <c r="D125" s="134"/>
      <c r="E125" s="135"/>
      <c r="F125" s="134"/>
      <c r="G125" s="135"/>
      <c r="H125" s="134"/>
      <c r="I125" s="135"/>
      <c r="J125" s="134"/>
      <c r="K125" s="134"/>
      <c r="L125" s="135"/>
      <c r="M125" s="134"/>
      <c r="N125" s="119"/>
      <c r="O125" s="120"/>
      <c r="P125" s="120"/>
      <c r="Q125" s="120"/>
      <c r="R125" s="120"/>
      <c r="S125" s="120"/>
      <c r="T125" s="120"/>
      <c r="U125" s="120"/>
      <c r="V125" s="120"/>
      <c r="W125" s="120"/>
    </row>
    <row r="126">
      <c r="A126" s="139"/>
      <c r="B126" s="134"/>
      <c r="C126" s="135"/>
      <c r="D126" s="134"/>
      <c r="E126" s="135"/>
      <c r="F126" s="134"/>
      <c r="G126" s="135"/>
      <c r="H126" s="134"/>
      <c r="I126" s="135"/>
      <c r="J126" s="134"/>
      <c r="K126" s="134"/>
      <c r="L126" s="135"/>
      <c r="M126" s="134"/>
      <c r="N126" s="119"/>
      <c r="O126" s="120"/>
      <c r="P126" s="120"/>
      <c r="Q126" s="120"/>
      <c r="R126" s="120"/>
      <c r="S126" s="120"/>
      <c r="T126" s="120"/>
      <c r="U126" s="120"/>
      <c r="V126" s="120"/>
      <c r="W126" s="120"/>
    </row>
    <row r="127">
      <c r="A127" s="139"/>
      <c r="B127" s="134"/>
      <c r="C127" s="135"/>
      <c r="D127" s="134"/>
      <c r="E127" s="135"/>
      <c r="F127" s="134"/>
      <c r="G127" s="135"/>
      <c r="H127" s="134"/>
      <c r="I127" s="135"/>
      <c r="J127" s="134"/>
      <c r="K127" s="134"/>
      <c r="L127" s="135"/>
      <c r="M127" s="134"/>
      <c r="N127" s="119"/>
      <c r="O127" s="120"/>
      <c r="P127" s="120"/>
      <c r="Q127" s="120"/>
      <c r="R127" s="120"/>
      <c r="S127" s="120"/>
      <c r="T127" s="120"/>
      <c r="U127" s="120"/>
      <c r="V127" s="120"/>
      <c r="W127" s="120"/>
    </row>
    <row r="128">
      <c r="A128" s="139"/>
      <c r="B128" s="134"/>
      <c r="C128" s="135"/>
      <c r="D128" s="134"/>
      <c r="E128" s="135"/>
      <c r="F128" s="134"/>
      <c r="G128" s="135"/>
      <c r="H128" s="134"/>
      <c r="I128" s="135"/>
      <c r="J128" s="134"/>
      <c r="K128" s="134"/>
      <c r="L128" s="135"/>
      <c r="M128" s="134"/>
      <c r="N128" s="119"/>
      <c r="O128" s="120"/>
      <c r="P128" s="120"/>
      <c r="Q128" s="120"/>
      <c r="R128" s="120"/>
      <c r="S128" s="120"/>
      <c r="T128" s="120"/>
      <c r="U128" s="120"/>
      <c r="V128" s="120"/>
      <c r="W128" s="120"/>
    </row>
    <row r="129">
      <c r="A129" s="139"/>
      <c r="B129" s="134"/>
      <c r="C129" s="135"/>
      <c r="D129" s="134"/>
      <c r="E129" s="135"/>
      <c r="F129" s="134"/>
      <c r="G129" s="135"/>
      <c r="H129" s="134"/>
      <c r="I129" s="135"/>
      <c r="J129" s="134"/>
      <c r="K129" s="134"/>
      <c r="L129" s="135"/>
      <c r="M129" s="134"/>
      <c r="N129" s="119"/>
      <c r="O129" s="120"/>
      <c r="P129" s="120"/>
      <c r="Q129" s="120"/>
      <c r="R129" s="120"/>
      <c r="S129" s="120"/>
      <c r="T129" s="120"/>
      <c r="U129" s="120"/>
      <c r="V129" s="120"/>
      <c r="W129" s="120"/>
    </row>
    <row r="130">
      <c r="A130" s="139"/>
      <c r="B130" s="134"/>
      <c r="C130" s="135"/>
      <c r="D130" s="134"/>
      <c r="E130" s="135"/>
      <c r="F130" s="134"/>
      <c r="G130" s="135"/>
      <c r="H130" s="134"/>
      <c r="I130" s="135"/>
      <c r="J130" s="134"/>
      <c r="K130" s="134"/>
      <c r="L130" s="135"/>
      <c r="M130" s="134"/>
      <c r="N130" s="119"/>
      <c r="O130" s="120"/>
      <c r="P130" s="120"/>
      <c r="Q130" s="120"/>
      <c r="R130" s="120"/>
      <c r="S130" s="120"/>
      <c r="T130" s="120"/>
      <c r="U130" s="120"/>
      <c r="V130" s="120"/>
      <c r="W130" s="120"/>
    </row>
    <row r="131">
      <c r="A131" s="139"/>
      <c r="B131" s="134"/>
      <c r="C131" s="135"/>
      <c r="D131" s="134"/>
      <c r="E131" s="135"/>
      <c r="F131" s="134"/>
      <c r="G131" s="135"/>
      <c r="H131" s="134"/>
      <c r="I131" s="135"/>
      <c r="J131" s="134"/>
      <c r="K131" s="134"/>
      <c r="L131" s="135"/>
      <c r="M131" s="134"/>
      <c r="N131" s="119"/>
      <c r="O131" s="120"/>
      <c r="P131" s="120"/>
      <c r="Q131" s="120"/>
      <c r="R131" s="120"/>
      <c r="S131" s="120"/>
      <c r="T131" s="120"/>
      <c r="U131" s="120"/>
      <c r="V131" s="120"/>
      <c r="W131" s="120"/>
    </row>
    <row r="132">
      <c r="A132" s="139"/>
      <c r="B132" s="134"/>
      <c r="C132" s="135"/>
      <c r="D132" s="134"/>
      <c r="E132" s="135"/>
      <c r="F132" s="134"/>
      <c r="G132" s="135"/>
      <c r="H132" s="134"/>
      <c r="I132" s="135"/>
      <c r="J132" s="134"/>
      <c r="K132" s="134"/>
      <c r="L132" s="135"/>
      <c r="M132" s="134"/>
      <c r="N132" s="119"/>
      <c r="O132" s="120"/>
      <c r="P132" s="120"/>
      <c r="Q132" s="120"/>
      <c r="R132" s="120"/>
      <c r="S132" s="120"/>
      <c r="T132" s="120"/>
      <c r="U132" s="120"/>
      <c r="V132" s="120"/>
      <c r="W132" s="120"/>
    </row>
    <row r="133">
      <c r="A133" s="139"/>
      <c r="B133" s="134"/>
      <c r="C133" s="135"/>
      <c r="D133" s="134"/>
      <c r="E133" s="135"/>
      <c r="F133" s="134"/>
      <c r="G133" s="135"/>
      <c r="H133" s="134"/>
      <c r="I133" s="135"/>
      <c r="J133" s="134"/>
      <c r="K133" s="134"/>
      <c r="L133" s="135"/>
      <c r="M133" s="134"/>
      <c r="N133" s="119"/>
      <c r="O133" s="120"/>
      <c r="P133" s="120"/>
      <c r="Q133" s="120"/>
      <c r="R133" s="120"/>
      <c r="S133" s="120"/>
      <c r="T133" s="120"/>
      <c r="U133" s="120"/>
      <c r="V133" s="120"/>
      <c r="W133" s="120"/>
    </row>
    <row r="134">
      <c r="A134" s="139"/>
      <c r="B134" s="134"/>
      <c r="C134" s="135"/>
      <c r="D134" s="134"/>
      <c r="E134" s="135"/>
      <c r="F134" s="134"/>
      <c r="G134" s="135"/>
      <c r="H134" s="134"/>
      <c r="I134" s="135"/>
      <c r="J134" s="134"/>
      <c r="K134" s="134"/>
      <c r="L134" s="135"/>
      <c r="M134" s="134"/>
      <c r="N134" s="119"/>
      <c r="O134" s="120"/>
      <c r="P134" s="120"/>
      <c r="Q134" s="120"/>
      <c r="R134" s="120"/>
      <c r="S134" s="120"/>
      <c r="T134" s="120"/>
      <c r="U134" s="120"/>
      <c r="V134" s="120"/>
      <c r="W134" s="120"/>
    </row>
    <row r="135">
      <c r="A135" s="139"/>
      <c r="B135" s="134"/>
      <c r="C135" s="135"/>
      <c r="D135" s="134"/>
      <c r="E135" s="135"/>
      <c r="F135" s="134"/>
      <c r="G135" s="135"/>
      <c r="H135" s="134"/>
      <c r="I135" s="135"/>
      <c r="J135" s="134"/>
      <c r="K135" s="134"/>
      <c r="L135" s="135"/>
      <c r="M135" s="134"/>
      <c r="N135" s="119"/>
      <c r="O135" s="120"/>
      <c r="P135" s="120"/>
      <c r="Q135" s="120"/>
      <c r="R135" s="120"/>
      <c r="S135" s="120"/>
      <c r="T135" s="120"/>
      <c r="U135" s="120"/>
      <c r="V135" s="120"/>
      <c r="W135" s="120"/>
    </row>
    <row r="136">
      <c r="A136" s="139"/>
      <c r="B136" s="134"/>
      <c r="C136" s="135"/>
      <c r="D136" s="134"/>
      <c r="E136" s="135"/>
      <c r="F136" s="134"/>
      <c r="G136" s="135"/>
      <c r="H136" s="134"/>
      <c r="I136" s="135"/>
      <c r="J136" s="134"/>
      <c r="K136" s="134"/>
      <c r="L136" s="135"/>
      <c r="M136" s="134"/>
      <c r="N136" s="119"/>
      <c r="O136" s="120"/>
      <c r="P136" s="120"/>
      <c r="Q136" s="120"/>
      <c r="R136" s="120"/>
      <c r="S136" s="120"/>
      <c r="T136" s="120"/>
      <c r="U136" s="120"/>
      <c r="V136" s="120"/>
      <c r="W136" s="120"/>
    </row>
    <row r="137">
      <c r="A137" s="139"/>
      <c r="B137" s="134"/>
      <c r="C137" s="135"/>
      <c r="D137" s="134"/>
      <c r="E137" s="135"/>
      <c r="F137" s="134"/>
      <c r="G137" s="135"/>
      <c r="H137" s="134"/>
      <c r="I137" s="135"/>
      <c r="J137" s="134"/>
      <c r="K137" s="134"/>
      <c r="L137" s="135"/>
      <c r="M137" s="134"/>
      <c r="N137" s="119"/>
      <c r="O137" s="120"/>
      <c r="P137" s="120"/>
      <c r="Q137" s="120"/>
      <c r="R137" s="120"/>
      <c r="S137" s="120"/>
      <c r="T137" s="120"/>
      <c r="U137" s="120"/>
      <c r="V137" s="120"/>
      <c r="W137" s="120"/>
    </row>
    <row r="138">
      <c r="A138" s="139"/>
      <c r="B138" s="134"/>
      <c r="C138" s="135"/>
      <c r="D138" s="134"/>
      <c r="E138" s="135"/>
      <c r="F138" s="134"/>
      <c r="G138" s="135"/>
      <c r="H138" s="134"/>
      <c r="I138" s="135"/>
      <c r="J138" s="134"/>
      <c r="K138" s="134"/>
      <c r="L138" s="135"/>
      <c r="M138" s="134"/>
      <c r="N138" s="119"/>
      <c r="O138" s="120"/>
      <c r="P138" s="120"/>
      <c r="Q138" s="120"/>
      <c r="R138" s="120"/>
      <c r="S138" s="120"/>
      <c r="T138" s="120"/>
      <c r="U138" s="120"/>
      <c r="V138" s="120"/>
      <c r="W138" s="120"/>
    </row>
    <row r="139">
      <c r="A139" s="139"/>
      <c r="B139" s="134"/>
      <c r="C139" s="135"/>
      <c r="D139" s="134"/>
      <c r="E139" s="135"/>
      <c r="F139" s="134"/>
      <c r="G139" s="135"/>
      <c r="H139" s="134"/>
      <c r="I139" s="135"/>
      <c r="J139" s="134"/>
      <c r="K139" s="134"/>
      <c r="L139" s="135"/>
      <c r="M139" s="134"/>
      <c r="N139" s="119"/>
      <c r="O139" s="120"/>
      <c r="P139" s="120"/>
      <c r="Q139" s="120"/>
      <c r="R139" s="120"/>
      <c r="S139" s="120"/>
      <c r="T139" s="120"/>
      <c r="U139" s="120"/>
      <c r="V139" s="120"/>
      <c r="W139" s="120"/>
    </row>
    <row r="140">
      <c r="A140" s="139"/>
      <c r="B140" s="134"/>
      <c r="C140" s="135"/>
      <c r="D140" s="134"/>
      <c r="E140" s="135"/>
      <c r="F140" s="134"/>
      <c r="G140" s="135"/>
      <c r="H140" s="134"/>
      <c r="I140" s="135"/>
      <c r="J140" s="134"/>
      <c r="K140" s="134"/>
      <c r="L140" s="135"/>
      <c r="M140" s="134"/>
      <c r="N140" s="119"/>
      <c r="O140" s="120"/>
      <c r="P140" s="120"/>
      <c r="Q140" s="120"/>
      <c r="R140" s="120"/>
      <c r="S140" s="120"/>
      <c r="T140" s="120"/>
      <c r="U140" s="120"/>
      <c r="V140" s="120"/>
      <c r="W140" s="120"/>
    </row>
    <row r="141">
      <c r="A141" s="139"/>
      <c r="B141" s="134"/>
      <c r="C141" s="135"/>
      <c r="D141" s="134"/>
      <c r="E141" s="135"/>
      <c r="F141" s="134"/>
      <c r="G141" s="135"/>
      <c r="H141" s="134"/>
      <c r="I141" s="135"/>
      <c r="J141" s="134"/>
      <c r="K141" s="134"/>
      <c r="L141" s="135"/>
      <c r="M141" s="134"/>
      <c r="N141" s="119"/>
      <c r="O141" s="120"/>
      <c r="P141" s="120"/>
      <c r="Q141" s="120"/>
      <c r="R141" s="120"/>
      <c r="S141" s="120"/>
      <c r="T141" s="120"/>
      <c r="U141" s="120"/>
      <c r="V141" s="120"/>
      <c r="W141" s="120"/>
    </row>
    <row r="142">
      <c r="A142" s="139"/>
      <c r="B142" s="134"/>
      <c r="C142" s="135"/>
      <c r="D142" s="134"/>
      <c r="E142" s="135"/>
      <c r="F142" s="134"/>
      <c r="G142" s="135"/>
      <c r="H142" s="134"/>
      <c r="I142" s="135"/>
      <c r="J142" s="134"/>
      <c r="K142" s="134"/>
      <c r="L142" s="135"/>
      <c r="M142" s="134"/>
      <c r="N142" s="119"/>
      <c r="O142" s="120"/>
      <c r="P142" s="120"/>
      <c r="Q142" s="120"/>
      <c r="R142" s="120"/>
      <c r="S142" s="120"/>
      <c r="T142" s="120"/>
      <c r="U142" s="120"/>
      <c r="V142" s="120"/>
      <c r="W142" s="120"/>
    </row>
    <row r="143">
      <c r="A143" s="139"/>
      <c r="B143" s="134"/>
      <c r="C143" s="135"/>
      <c r="D143" s="134"/>
      <c r="E143" s="135"/>
      <c r="F143" s="134"/>
      <c r="G143" s="135"/>
      <c r="H143" s="134"/>
      <c r="I143" s="135"/>
      <c r="J143" s="134"/>
      <c r="K143" s="134"/>
      <c r="L143" s="135"/>
      <c r="M143" s="134"/>
      <c r="N143" s="119"/>
      <c r="O143" s="120"/>
      <c r="P143" s="120"/>
      <c r="Q143" s="120"/>
      <c r="R143" s="120"/>
      <c r="S143" s="120"/>
      <c r="T143" s="120"/>
      <c r="U143" s="120"/>
      <c r="V143" s="120"/>
      <c r="W143" s="120"/>
    </row>
    <row r="144">
      <c r="A144" s="139"/>
      <c r="B144" s="134"/>
      <c r="C144" s="135"/>
      <c r="D144" s="134"/>
      <c r="E144" s="135"/>
      <c r="F144" s="134"/>
      <c r="G144" s="135"/>
      <c r="H144" s="134"/>
      <c r="I144" s="135"/>
      <c r="J144" s="134"/>
      <c r="K144" s="134"/>
      <c r="L144" s="135"/>
      <c r="M144" s="134"/>
      <c r="N144" s="119"/>
      <c r="O144" s="120"/>
      <c r="P144" s="120"/>
      <c r="Q144" s="120"/>
      <c r="R144" s="120"/>
      <c r="S144" s="120"/>
      <c r="T144" s="120"/>
      <c r="U144" s="120"/>
      <c r="V144" s="120"/>
      <c r="W144" s="120"/>
    </row>
    <row r="145">
      <c r="A145" s="139"/>
      <c r="B145" s="134"/>
      <c r="C145" s="135"/>
      <c r="D145" s="134"/>
      <c r="E145" s="135"/>
      <c r="F145" s="134"/>
      <c r="G145" s="135"/>
      <c r="H145" s="134"/>
      <c r="I145" s="135"/>
      <c r="J145" s="134"/>
      <c r="K145" s="134"/>
      <c r="L145" s="135"/>
      <c r="M145" s="134"/>
      <c r="N145" s="119"/>
      <c r="O145" s="120"/>
      <c r="P145" s="120"/>
      <c r="Q145" s="120"/>
      <c r="R145" s="120"/>
      <c r="S145" s="120"/>
      <c r="T145" s="120"/>
      <c r="U145" s="120"/>
      <c r="V145" s="120"/>
      <c r="W145" s="120"/>
    </row>
    <row r="146">
      <c r="A146" s="139"/>
      <c r="B146" s="134"/>
      <c r="C146" s="135"/>
      <c r="D146" s="134"/>
      <c r="E146" s="135"/>
      <c r="F146" s="134"/>
      <c r="G146" s="135"/>
      <c r="H146" s="134"/>
      <c r="I146" s="135"/>
      <c r="J146" s="134"/>
      <c r="K146" s="134"/>
      <c r="L146" s="135"/>
      <c r="M146" s="134"/>
      <c r="N146" s="119"/>
      <c r="O146" s="120"/>
      <c r="P146" s="120"/>
      <c r="Q146" s="120"/>
      <c r="R146" s="120"/>
      <c r="S146" s="120"/>
      <c r="T146" s="120"/>
      <c r="U146" s="120"/>
      <c r="V146" s="120"/>
      <c r="W146" s="120"/>
    </row>
    <row r="147">
      <c r="A147" s="139"/>
      <c r="B147" s="134"/>
      <c r="C147" s="135"/>
      <c r="D147" s="134"/>
      <c r="E147" s="135"/>
      <c r="F147" s="134"/>
      <c r="G147" s="135"/>
      <c r="H147" s="134"/>
      <c r="I147" s="135"/>
      <c r="J147" s="134"/>
      <c r="K147" s="134"/>
      <c r="L147" s="135"/>
      <c r="M147" s="134"/>
      <c r="N147" s="119"/>
      <c r="O147" s="120"/>
      <c r="P147" s="120"/>
      <c r="Q147" s="120"/>
      <c r="R147" s="120"/>
      <c r="S147" s="120"/>
      <c r="T147" s="120"/>
      <c r="U147" s="120"/>
      <c r="V147" s="120"/>
      <c r="W147" s="120"/>
    </row>
    <row r="148">
      <c r="A148" s="139"/>
      <c r="B148" s="134"/>
      <c r="C148" s="135"/>
      <c r="D148" s="134"/>
      <c r="E148" s="135"/>
      <c r="F148" s="134"/>
      <c r="G148" s="135"/>
      <c r="H148" s="134"/>
      <c r="I148" s="135"/>
      <c r="J148" s="134"/>
      <c r="K148" s="134"/>
      <c r="L148" s="135"/>
      <c r="M148" s="134"/>
      <c r="N148" s="119"/>
      <c r="O148" s="120"/>
      <c r="P148" s="120"/>
      <c r="Q148" s="120"/>
      <c r="R148" s="120"/>
      <c r="S148" s="120"/>
      <c r="T148" s="120"/>
      <c r="U148" s="120"/>
      <c r="V148" s="120"/>
      <c r="W148" s="120"/>
    </row>
    <row r="149">
      <c r="A149" s="139"/>
      <c r="B149" s="134"/>
      <c r="C149" s="135"/>
      <c r="D149" s="134"/>
      <c r="E149" s="135"/>
      <c r="F149" s="134"/>
      <c r="G149" s="135"/>
      <c r="H149" s="134"/>
      <c r="I149" s="135"/>
      <c r="J149" s="134"/>
      <c r="K149" s="134"/>
      <c r="L149" s="135"/>
      <c r="M149" s="134"/>
      <c r="N149" s="119"/>
      <c r="O149" s="120"/>
      <c r="P149" s="120"/>
      <c r="Q149" s="120"/>
      <c r="R149" s="120"/>
      <c r="S149" s="120"/>
      <c r="T149" s="120"/>
      <c r="U149" s="120"/>
      <c r="V149" s="120"/>
      <c r="W149" s="120"/>
    </row>
    <row r="150">
      <c r="A150" s="139"/>
      <c r="B150" s="134"/>
      <c r="C150" s="135"/>
      <c r="D150" s="134"/>
      <c r="E150" s="135"/>
      <c r="F150" s="134"/>
      <c r="G150" s="135"/>
      <c r="H150" s="134"/>
      <c r="I150" s="135"/>
      <c r="J150" s="134"/>
      <c r="K150" s="134"/>
      <c r="L150" s="135"/>
      <c r="M150" s="134"/>
      <c r="N150" s="119"/>
      <c r="O150" s="120"/>
      <c r="P150" s="120"/>
      <c r="Q150" s="120"/>
      <c r="R150" s="120"/>
      <c r="S150" s="120"/>
      <c r="T150" s="120"/>
      <c r="U150" s="120"/>
      <c r="V150" s="120"/>
      <c r="W150" s="120"/>
    </row>
    <row r="151">
      <c r="A151" s="139"/>
      <c r="B151" s="134"/>
      <c r="C151" s="135"/>
      <c r="D151" s="134"/>
      <c r="E151" s="135"/>
      <c r="F151" s="134"/>
      <c r="G151" s="135"/>
      <c r="H151" s="134"/>
      <c r="I151" s="135"/>
      <c r="J151" s="134"/>
      <c r="K151" s="134"/>
      <c r="L151" s="135"/>
      <c r="M151" s="134"/>
      <c r="N151" s="119"/>
      <c r="O151" s="120"/>
      <c r="P151" s="120"/>
      <c r="Q151" s="120"/>
      <c r="R151" s="120"/>
      <c r="S151" s="120"/>
      <c r="T151" s="120"/>
      <c r="U151" s="120"/>
      <c r="V151" s="120"/>
      <c r="W151" s="120"/>
    </row>
    <row r="152">
      <c r="A152" s="139"/>
      <c r="B152" s="134"/>
      <c r="C152" s="135"/>
      <c r="D152" s="134"/>
      <c r="E152" s="135"/>
      <c r="F152" s="134"/>
      <c r="G152" s="135"/>
      <c r="H152" s="134"/>
      <c r="I152" s="135"/>
      <c r="J152" s="134"/>
      <c r="K152" s="134"/>
      <c r="L152" s="135"/>
      <c r="M152" s="134"/>
      <c r="N152" s="119"/>
      <c r="O152" s="120"/>
      <c r="P152" s="120"/>
      <c r="Q152" s="120"/>
      <c r="R152" s="120"/>
      <c r="S152" s="120"/>
      <c r="T152" s="120"/>
      <c r="U152" s="120"/>
      <c r="V152" s="120"/>
      <c r="W152" s="120"/>
    </row>
    <row r="153">
      <c r="A153" s="139"/>
      <c r="B153" s="134"/>
      <c r="C153" s="135"/>
      <c r="D153" s="134"/>
      <c r="E153" s="135"/>
      <c r="F153" s="134"/>
      <c r="G153" s="135"/>
      <c r="H153" s="134"/>
      <c r="I153" s="135"/>
      <c r="J153" s="134"/>
      <c r="K153" s="134"/>
      <c r="L153" s="135"/>
      <c r="M153" s="134"/>
      <c r="N153" s="119"/>
      <c r="O153" s="120"/>
      <c r="P153" s="120"/>
      <c r="Q153" s="120"/>
      <c r="R153" s="120"/>
      <c r="S153" s="120"/>
      <c r="T153" s="120"/>
      <c r="U153" s="120"/>
      <c r="V153" s="120"/>
      <c r="W153" s="120"/>
    </row>
    <row r="154">
      <c r="A154" s="139"/>
      <c r="B154" s="134"/>
      <c r="C154" s="135"/>
      <c r="D154" s="134"/>
      <c r="E154" s="135"/>
      <c r="F154" s="134"/>
      <c r="G154" s="135"/>
      <c r="H154" s="134"/>
      <c r="I154" s="135"/>
      <c r="J154" s="134"/>
      <c r="K154" s="134"/>
      <c r="L154" s="135"/>
      <c r="M154" s="134"/>
      <c r="N154" s="119"/>
      <c r="O154" s="120"/>
      <c r="P154" s="120"/>
      <c r="Q154" s="120"/>
      <c r="R154" s="120"/>
      <c r="S154" s="120"/>
      <c r="T154" s="120"/>
      <c r="U154" s="120"/>
      <c r="V154" s="120"/>
      <c r="W154" s="120"/>
    </row>
    <row r="155">
      <c r="A155" s="139"/>
      <c r="B155" s="134"/>
      <c r="C155" s="135"/>
      <c r="D155" s="134"/>
      <c r="E155" s="135"/>
      <c r="F155" s="134"/>
      <c r="G155" s="135"/>
      <c r="H155" s="134"/>
      <c r="I155" s="135"/>
      <c r="J155" s="134"/>
      <c r="K155" s="134"/>
      <c r="L155" s="135"/>
      <c r="M155" s="134"/>
      <c r="N155" s="119"/>
      <c r="O155" s="120"/>
      <c r="P155" s="120"/>
      <c r="Q155" s="120"/>
      <c r="R155" s="120"/>
      <c r="S155" s="120"/>
      <c r="T155" s="120"/>
      <c r="U155" s="120"/>
      <c r="V155" s="120"/>
      <c r="W155" s="120"/>
    </row>
    <row r="156">
      <c r="A156" s="139"/>
      <c r="B156" s="134"/>
      <c r="C156" s="135"/>
      <c r="D156" s="134"/>
      <c r="E156" s="135"/>
      <c r="F156" s="134"/>
      <c r="G156" s="135"/>
      <c r="H156" s="134"/>
      <c r="I156" s="135"/>
      <c r="J156" s="134"/>
      <c r="K156" s="134"/>
      <c r="L156" s="135"/>
      <c r="M156" s="134"/>
      <c r="N156" s="119"/>
      <c r="O156" s="120"/>
      <c r="P156" s="120"/>
      <c r="Q156" s="120"/>
      <c r="R156" s="120"/>
      <c r="S156" s="120"/>
      <c r="T156" s="120"/>
      <c r="U156" s="120"/>
      <c r="V156" s="120"/>
      <c r="W156" s="120"/>
    </row>
    <row r="157">
      <c r="A157" s="139"/>
      <c r="B157" s="134"/>
      <c r="C157" s="135"/>
      <c r="D157" s="134"/>
      <c r="E157" s="135"/>
      <c r="F157" s="134"/>
      <c r="G157" s="135"/>
      <c r="H157" s="134"/>
      <c r="I157" s="135"/>
      <c r="J157" s="134"/>
      <c r="K157" s="134"/>
      <c r="L157" s="135"/>
      <c r="M157" s="134"/>
      <c r="N157" s="119"/>
      <c r="O157" s="120"/>
      <c r="P157" s="120"/>
      <c r="Q157" s="120"/>
      <c r="R157" s="120"/>
      <c r="S157" s="120"/>
      <c r="T157" s="120"/>
      <c r="U157" s="120"/>
      <c r="V157" s="120"/>
      <c r="W157" s="120"/>
    </row>
    <row r="158">
      <c r="A158" s="139"/>
      <c r="B158" s="134"/>
      <c r="C158" s="135"/>
      <c r="D158" s="134"/>
      <c r="E158" s="135"/>
      <c r="F158" s="134"/>
      <c r="G158" s="135"/>
      <c r="H158" s="134"/>
      <c r="I158" s="135"/>
      <c r="J158" s="134"/>
      <c r="K158" s="134"/>
      <c r="L158" s="135"/>
      <c r="M158" s="134"/>
      <c r="N158" s="119"/>
      <c r="O158" s="120"/>
      <c r="P158" s="120"/>
      <c r="Q158" s="120"/>
      <c r="R158" s="120"/>
      <c r="S158" s="120"/>
      <c r="T158" s="120"/>
      <c r="U158" s="120"/>
      <c r="V158" s="120"/>
      <c r="W158" s="120"/>
    </row>
    <row r="159">
      <c r="A159" s="139"/>
      <c r="B159" s="134"/>
      <c r="C159" s="135"/>
      <c r="D159" s="134"/>
      <c r="E159" s="135"/>
      <c r="F159" s="134"/>
      <c r="G159" s="135"/>
      <c r="H159" s="134"/>
      <c r="I159" s="135"/>
      <c r="J159" s="134"/>
      <c r="K159" s="134"/>
      <c r="L159" s="135"/>
      <c r="M159" s="134"/>
      <c r="N159" s="119"/>
      <c r="O159" s="120"/>
      <c r="P159" s="120"/>
      <c r="Q159" s="120"/>
      <c r="R159" s="120"/>
      <c r="S159" s="120"/>
      <c r="T159" s="120"/>
      <c r="U159" s="120"/>
      <c r="V159" s="120"/>
      <c r="W159" s="120"/>
    </row>
    <row r="160">
      <c r="A160" s="139"/>
      <c r="B160" s="134"/>
      <c r="C160" s="135"/>
      <c r="D160" s="134"/>
      <c r="E160" s="135"/>
      <c r="F160" s="134"/>
      <c r="G160" s="135"/>
      <c r="H160" s="134"/>
      <c r="I160" s="135"/>
      <c r="J160" s="134"/>
      <c r="K160" s="134"/>
      <c r="L160" s="135"/>
      <c r="M160" s="134"/>
      <c r="N160" s="119"/>
      <c r="O160" s="120"/>
      <c r="P160" s="120"/>
      <c r="Q160" s="120"/>
      <c r="R160" s="120"/>
      <c r="S160" s="120"/>
      <c r="T160" s="120"/>
      <c r="U160" s="120"/>
      <c r="V160" s="120"/>
      <c r="W160" s="120"/>
    </row>
    <row r="161">
      <c r="A161" s="139"/>
      <c r="B161" s="134"/>
      <c r="C161" s="135"/>
      <c r="D161" s="134"/>
      <c r="E161" s="135"/>
      <c r="F161" s="134"/>
      <c r="G161" s="135"/>
      <c r="H161" s="134"/>
      <c r="I161" s="135"/>
      <c r="J161" s="134"/>
      <c r="K161" s="134"/>
      <c r="L161" s="135"/>
      <c r="M161" s="134"/>
      <c r="N161" s="119"/>
      <c r="O161" s="120"/>
      <c r="P161" s="120"/>
      <c r="Q161" s="120"/>
      <c r="R161" s="120"/>
      <c r="S161" s="120"/>
      <c r="T161" s="120"/>
      <c r="U161" s="120"/>
      <c r="V161" s="120"/>
      <c r="W161" s="120"/>
    </row>
    <row r="162">
      <c r="A162" s="139"/>
      <c r="B162" s="134"/>
      <c r="C162" s="135"/>
      <c r="D162" s="134"/>
      <c r="E162" s="135"/>
      <c r="F162" s="134"/>
      <c r="G162" s="135"/>
      <c r="H162" s="134"/>
      <c r="I162" s="135"/>
      <c r="J162" s="134"/>
      <c r="K162" s="134"/>
      <c r="L162" s="135"/>
      <c r="M162" s="134"/>
      <c r="N162" s="119"/>
      <c r="O162" s="120"/>
      <c r="P162" s="120"/>
      <c r="Q162" s="120"/>
      <c r="R162" s="120"/>
      <c r="S162" s="120"/>
      <c r="T162" s="120"/>
      <c r="U162" s="120"/>
      <c r="V162" s="120"/>
      <c r="W162" s="120"/>
    </row>
    <row r="163">
      <c r="A163" s="139"/>
      <c r="B163" s="134"/>
      <c r="C163" s="135"/>
      <c r="D163" s="134"/>
      <c r="E163" s="135"/>
      <c r="F163" s="134"/>
      <c r="G163" s="135"/>
      <c r="H163" s="134"/>
      <c r="I163" s="135"/>
      <c r="J163" s="134"/>
      <c r="K163" s="134"/>
      <c r="L163" s="135"/>
      <c r="M163" s="134"/>
      <c r="N163" s="119"/>
      <c r="O163" s="120"/>
      <c r="P163" s="120"/>
      <c r="Q163" s="120"/>
      <c r="R163" s="120"/>
      <c r="S163" s="120"/>
      <c r="T163" s="120"/>
      <c r="U163" s="120"/>
      <c r="V163" s="120"/>
      <c r="W163" s="120"/>
    </row>
    <row r="164">
      <c r="A164" s="139"/>
      <c r="B164" s="134"/>
      <c r="C164" s="135"/>
      <c r="D164" s="134"/>
      <c r="E164" s="135"/>
      <c r="F164" s="134"/>
      <c r="G164" s="135"/>
      <c r="H164" s="134"/>
      <c r="I164" s="135"/>
      <c r="J164" s="134"/>
      <c r="K164" s="134"/>
      <c r="L164" s="135"/>
      <c r="M164" s="134"/>
      <c r="N164" s="119"/>
      <c r="O164" s="120"/>
      <c r="P164" s="120"/>
      <c r="Q164" s="120"/>
      <c r="R164" s="120"/>
      <c r="S164" s="120"/>
      <c r="T164" s="120"/>
      <c r="U164" s="120"/>
      <c r="V164" s="120"/>
      <c r="W164" s="120"/>
    </row>
    <row r="165">
      <c r="A165" s="139"/>
      <c r="B165" s="134"/>
      <c r="C165" s="135"/>
      <c r="D165" s="134"/>
      <c r="E165" s="135"/>
      <c r="F165" s="134"/>
      <c r="G165" s="135"/>
      <c r="H165" s="134"/>
      <c r="I165" s="135"/>
      <c r="J165" s="134"/>
      <c r="K165" s="134"/>
      <c r="L165" s="135"/>
      <c r="M165" s="134"/>
      <c r="N165" s="119"/>
      <c r="O165" s="120"/>
      <c r="P165" s="120"/>
      <c r="Q165" s="120"/>
      <c r="R165" s="120"/>
      <c r="S165" s="120"/>
      <c r="T165" s="120"/>
      <c r="U165" s="120"/>
      <c r="V165" s="120"/>
      <c r="W165" s="120"/>
    </row>
    <row r="166">
      <c r="A166" s="139"/>
      <c r="B166" s="134"/>
      <c r="C166" s="135"/>
      <c r="D166" s="134"/>
      <c r="E166" s="135"/>
      <c r="F166" s="134"/>
      <c r="G166" s="135"/>
      <c r="H166" s="134"/>
      <c r="I166" s="135"/>
      <c r="J166" s="134"/>
      <c r="K166" s="134"/>
      <c r="L166" s="135"/>
      <c r="M166" s="134"/>
      <c r="N166" s="119"/>
      <c r="O166" s="120"/>
      <c r="P166" s="120"/>
      <c r="Q166" s="120"/>
      <c r="R166" s="120"/>
      <c r="S166" s="120"/>
      <c r="T166" s="120"/>
      <c r="U166" s="120"/>
      <c r="V166" s="120"/>
      <c r="W166" s="120"/>
    </row>
    <row r="167">
      <c r="A167" s="139"/>
      <c r="B167" s="134"/>
      <c r="C167" s="135"/>
      <c r="D167" s="134"/>
      <c r="E167" s="135"/>
      <c r="F167" s="134"/>
      <c r="G167" s="135"/>
      <c r="H167" s="134"/>
      <c r="I167" s="135"/>
      <c r="J167" s="134"/>
      <c r="K167" s="134"/>
      <c r="L167" s="135"/>
      <c r="M167" s="134"/>
      <c r="N167" s="119"/>
      <c r="O167" s="120"/>
      <c r="P167" s="120"/>
      <c r="Q167" s="120"/>
      <c r="R167" s="120"/>
      <c r="S167" s="120"/>
      <c r="T167" s="120"/>
      <c r="U167" s="120"/>
      <c r="V167" s="120"/>
      <c r="W167" s="120"/>
    </row>
    <row r="168">
      <c r="A168" s="139"/>
      <c r="B168" s="134"/>
      <c r="C168" s="135"/>
      <c r="D168" s="134"/>
      <c r="E168" s="135"/>
      <c r="F168" s="134"/>
      <c r="G168" s="135"/>
      <c r="H168" s="134"/>
      <c r="I168" s="135"/>
      <c r="J168" s="134"/>
      <c r="K168" s="134"/>
      <c r="L168" s="135"/>
      <c r="M168" s="134"/>
      <c r="N168" s="119"/>
      <c r="O168" s="120"/>
      <c r="P168" s="120"/>
      <c r="Q168" s="120"/>
      <c r="R168" s="120"/>
      <c r="S168" s="120"/>
      <c r="T168" s="120"/>
      <c r="U168" s="120"/>
      <c r="V168" s="120"/>
      <c r="W168" s="120"/>
    </row>
    <row r="169">
      <c r="A169" s="139"/>
      <c r="B169" s="134"/>
      <c r="C169" s="135"/>
      <c r="D169" s="134"/>
      <c r="E169" s="135"/>
      <c r="F169" s="134"/>
      <c r="G169" s="135"/>
      <c r="H169" s="134"/>
      <c r="I169" s="135"/>
      <c r="J169" s="134"/>
      <c r="K169" s="134"/>
      <c r="L169" s="135"/>
      <c r="M169" s="134"/>
      <c r="N169" s="119"/>
      <c r="O169" s="120"/>
      <c r="P169" s="120"/>
      <c r="Q169" s="120"/>
      <c r="R169" s="120"/>
      <c r="S169" s="120"/>
      <c r="T169" s="120"/>
      <c r="U169" s="120"/>
      <c r="V169" s="120"/>
      <c r="W169" s="120"/>
    </row>
    <row r="170">
      <c r="A170" s="139"/>
      <c r="B170" s="134"/>
      <c r="C170" s="135"/>
      <c r="D170" s="134"/>
      <c r="E170" s="135"/>
      <c r="F170" s="134"/>
      <c r="G170" s="135"/>
      <c r="H170" s="134"/>
      <c r="I170" s="135"/>
      <c r="J170" s="134"/>
      <c r="K170" s="134"/>
      <c r="L170" s="135"/>
      <c r="M170" s="134"/>
      <c r="N170" s="119"/>
      <c r="O170" s="120"/>
      <c r="P170" s="120"/>
      <c r="Q170" s="120"/>
      <c r="R170" s="120"/>
      <c r="S170" s="120"/>
      <c r="T170" s="120"/>
      <c r="U170" s="120"/>
      <c r="V170" s="120"/>
      <c r="W170" s="120"/>
    </row>
    <row r="171">
      <c r="A171" s="139"/>
      <c r="B171" s="134"/>
      <c r="C171" s="135"/>
      <c r="D171" s="134"/>
      <c r="E171" s="135"/>
      <c r="F171" s="134"/>
      <c r="G171" s="135"/>
      <c r="H171" s="134"/>
      <c r="I171" s="135"/>
      <c r="J171" s="134"/>
      <c r="K171" s="134"/>
      <c r="L171" s="135"/>
      <c r="M171" s="134"/>
      <c r="N171" s="119"/>
      <c r="O171" s="120"/>
      <c r="P171" s="120"/>
      <c r="Q171" s="120"/>
      <c r="R171" s="120"/>
      <c r="S171" s="120"/>
      <c r="T171" s="120"/>
      <c r="U171" s="120"/>
      <c r="V171" s="120"/>
      <c r="W171" s="120"/>
    </row>
    <row r="172">
      <c r="A172" s="139"/>
      <c r="B172" s="134"/>
      <c r="C172" s="135"/>
      <c r="D172" s="134"/>
      <c r="E172" s="135"/>
      <c r="F172" s="134"/>
      <c r="G172" s="135"/>
      <c r="H172" s="134"/>
      <c r="I172" s="135"/>
      <c r="J172" s="134"/>
      <c r="K172" s="134"/>
      <c r="L172" s="135"/>
      <c r="M172" s="134"/>
      <c r="N172" s="119"/>
      <c r="O172" s="120"/>
      <c r="P172" s="120"/>
      <c r="Q172" s="120"/>
      <c r="R172" s="120"/>
      <c r="S172" s="120"/>
      <c r="T172" s="120"/>
      <c r="U172" s="120"/>
      <c r="V172" s="120"/>
      <c r="W172" s="120"/>
    </row>
    <row r="173">
      <c r="A173" s="139"/>
      <c r="B173" s="134"/>
      <c r="C173" s="135"/>
      <c r="D173" s="134"/>
      <c r="E173" s="135"/>
      <c r="F173" s="134"/>
      <c r="G173" s="135"/>
      <c r="H173" s="134"/>
      <c r="I173" s="135"/>
      <c r="J173" s="134"/>
      <c r="K173" s="134"/>
      <c r="L173" s="135"/>
      <c r="M173" s="134"/>
      <c r="N173" s="119"/>
      <c r="O173" s="120"/>
      <c r="P173" s="120"/>
      <c r="Q173" s="120"/>
      <c r="R173" s="120"/>
      <c r="S173" s="120"/>
      <c r="T173" s="120"/>
      <c r="U173" s="120"/>
      <c r="V173" s="120"/>
      <c r="W173" s="120"/>
    </row>
    <row r="174">
      <c r="A174" s="139"/>
      <c r="B174" s="134"/>
      <c r="C174" s="135"/>
      <c r="D174" s="134"/>
      <c r="E174" s="135"/>
      <c r="F174" s="134"/>
      <c r="G174" s="135"/>
      <c r="H174" s="134"/>
      <c r="I174" s="135"/>
      <c r="J174" s="134"/>
      <c r="K174" s="134"/>
      <c r="L174" s="135"/>
      <c r="M174" s="134"/>
      <c r="N174" s="119"/>
      <c r="O174" s="120"/>
      <c r="P174" s="120"/>
      <c r="Q174" s="120"/>
      <c r="R174" s="120"/>
      <c r="S174" s="120"/>
      <c r="T174" s="120"/>
      <c r="U174" s="120"/>
      <c r="V174" s="120"/>
      <c r="W174" s="120"/>
    </row>
    <row r="175">
      <c r="A175" s="139"/>
      <c r="B175" s="134"/>
      <c r="C175" s="135"/>
      <c r="D175" s="134"/>
      <c r="E175" s="135"/>
      <c r="F175" s="134"/>
      <c r="G175" s="135"/>
      <c r="H175" s="134"/>
      <c r="I175" s="135"/>
      <c r="J175" s="134"/>
      <c r="K175" s="134"/>
      <c r="L175" s="135"/>
      <c r="M175" s="134"/>
      <c r="N175" s="119"/>
      <c r="O175" s="120"/>
      <c r="P175" s="120"/>
      <c r="Q175" s="120"/>
      <c r="R175" s="120"/>
      <c r="S175" s="120"/>
      <c r="T175" s="120"/>
      <c r="U175" s="120"/>
      <c r="V175" s="120"/>
      <c r="W175" s="120"/>
    </row>
    <row r="176">
      <c r="A176" s="139"/>
      <c r="B176" s="134"/>
      <c r="C176" s="135"/>
      <c r="D176" s="134"/>
      <c r="E176" s="135"/>
      <c r="F176" s="134"/>
      <c r="G176" s="135"/>
      <c r="H176" s="134"/>
      <c r="I176" s="135"/>
      <c r="J176" s="134"/>
      <c r="K176" s="134"/>
      <c r="L176" s="135"/>
      <c r="M176" s="134"/>
      <c r="N176" s="119"/>
      <c r="O176" s="120"/>
      <c r="P176" s="120"/>
      <c r="Q176" s="120"/>
      <c r="R176" s="120"/>
      <c r="S176" s="120"/>
      <c r="T176" s="120"/>
      <c r="U176" s="120"/>
      <c r="V176" s="120"/>
      <c r="W176" s="120"/>
    </row>
    <row r="177">
      <c r="A177" s="139"/>
      <c r="B177" s="134"/>
      <c r="C177" s="135"/>
      <c r="D177" s="134"/>
      <c r="E177" s="135"/>
      <c r="F177" s="134"/>
      <c r="G177" s="135"/>
      <c r="H177" s="134"/>
      <c r="I177" s="135"/>
      <c r="J177" s="134"/>
      <c r="K177" s="134"/>
      <c r="L177" s="135"/>
      <c r="M177" s="134"/>
      <c r="N177" s="119"/>
      <c r="O177" s="120"/>
      <c r="P177" s="120"/>
      <c r="Q177" s="120"/>
      <c r="R177" s="120"/>
      <c r="S177" s="120"/>
      <c r="T177" s="120"/>
      <c r="U177" s="120"/>
      <c r="V177" s="120"/>
      <c r="W177" s="120"/>
    </row>
    <row r="178">
      <c r="A178" s="139"/>
      <c r="B178" s="134"/>
      <c r="C178" s="135"/>
      <c r="D178" s="134"/>
      <c r="E178" s="135"/>
      <c r="F178" s="134"/>
      <c r="G178" s="135"/>
      <c r="H178" s="134"/>
      <c r="I178" s="135"/>
      <c r="J178" s="134"/>
      <c r="K178" s="134"/>
      <c r="L178" s="135"/>
      <c r="M178" s="134"/>
      <c r="N178" s="119"/>
      <c r="O178" s="120"/>
      <c r="P178" s="120"/>
      <c r="Q178" s="120"/>
      <c r="R178" s="120"/>
      <c r="S178" s="120"/>
      <c r="T178" s="120"/>
      <c r="U178" s="120"/>
      <c r="V178" s="120"/>
      <c r="W178" s="120"/>
    </row>
    <row r="179">
      <c r="A179" s="139"/>
      <c r="B179" s="134"/>
      <c r="C179" s="135"/>
      <c r="D179" s="134"/>
      <c r="E179" s="135"/>
      <c r="F179" s="134"/>
      <c r="G179" s="135"/>
      <c r="H179" s="134"/>
      <c r="I179" s="135"/>
      <c r="J179" s="134"/>
      <c r="K179" s="134"/>
      <c r="L179" s="135"/>
      <c r="M179" s="134"/>
      <c r="N179" s="119"/>
      <c r="O179" s="120"/>
      <c r="P179" s="120"/>
      <c r="Q179" s="120"/>
      <c r="R179" s="120"/>
      <c r="S179" s="120"/>
      <c r="T179" s="120"/>
      <c r="U179" s="120"/>
      <c r="V179" s="120"/>
      <c r="W179" s="120"/>
    </row>
    <row r="180">
      <c r="A180" s="139"/>
      <c r="B180" s="134"/>
      <c r="C180" s="135"/>
      <c r="D180" s="134"/>
      <c r="E180" s="135"/>
      <c r="F180" s="134"/>
      <c r="G180" s="135"/>
      <c r="H180" s="134"/>
      <c r="I180" s="135"/>
      <c r="J180" s="134"/>
      <c r="K180" s="134"/>
      <c r="L180" s="135"/>
      <c r="M180" s="134"/>
      <c r="N180" s="119"/>
      <c r="O180" s="120"/>
      <c r="P180" s="120"/>
      <c r="Q180" s="120"/>
      <c r="R180" s="120"/>
      <c r="S180" s="120"/>
      <c r="T180" s="120"/>
      <c r="U180" s="120"/>
      <c r="V180" s="120"/>
      <c r="W180" s="120"/>
    </row>
    <row r="181">
      <c r="A181" s="139"/>
      <c r="B181" s="134"/>
      <c r="C181" s="135"/>
      <c r="D181" s="134"/>
      <c r="E181" s="135"/>
      <c r="F181" s="134"/>
      <c r="G181" s="135"/>
      <c r="H181" s="134"/>
      <c r="I181" s="135"/>
      <c r="J181" s="134"/>
      <c r="K181" s="134"/>
      <c r="L181" s="135"/>
      <c r="M181" s="134"/>
      <c r="N181" s="119"/>
      <c r="O181" s="120"/>
      <c r="P181" s="120"/>
      <c r="Q181" s="120"/>
      <c r="R181" s="120"/>
      <c r="S181" s="120"/>
      <c r="T181" s="120"/>
      <c r="U181" s="120"/>
      <c r="V181" s="120"/>
      <c r="W181" s="120"/>
    </row>
    <row r="182">
      <c r="A182" s="139"/>
      <c r="B182" s="134"/>
      <c r="C182" s="135"/>
      <c r="D182" s="134"/>
      <c r="E182" s="135"/>
      <c r="F182" s="134"/>
      <c r="G182" s="135"/>
      <c r="H182" s="134"/>
      <c r="I182" s="135"/>
      <c r="J182" s="134"/>
      <c r="K182" s="134"/>
      <c r="L182" s="135"/>
      <c r="M182" s="134"/>
      <c r="N182" s="119"/>
      <c r="O182" s="120"/>
      <c r="P182" s="120"/>
      <c r="Q182" s="120"/>
      <c r="R182" s="120"/>
      <c r="S182" s="120"/>
      <c r="T182" s="120"/>
      <c r="U182" s="120"/>
      <c r="V182" s="120"/>
      <c r="W182" s="120"/>
    </row>
    <row r="183">
      <c r="A183" s="139"/>
      <c r="B183" s="134"/>
      <c r="C183" s="135"/>
      <c r="D183" s="134"/>
      <c r="E183" s="135"/>
      <c r="F183" s="134"/>
      <c r="G183" s="135"/>
      <c r="H183" s="134"/>
      <c r="I183" s="135"/>
      <c r="J183" s="134"/>
      <c r="K183" s="134"/>
      <c r="L183" s="135"/>
      <c r="M183" s="134"/>
      <c r="N183" s="119"/>
      <c r="O183" s="120"/>
      <c r="P183" s="120"/>
      <c r="Q183" s="120"/>
      <c r="R183" s="120"/>
      <c r="S183" s="120"/>
      <c r="T183" s="120"/>
      <c r="U183" s="120"/>
      <c r="V183" s="120"/>
      <c r="W183" s="120"/>
    </row>
    <row r="184">
      <c r="A184" s="139"/>
      <c r="B184" s="134"/>
      <c r="C184" s="135"/>
      <c r="D184" s="134"/>
      <c r="E184" s="135"/>
      <c r="F184" s="134"/>
      <c r="G184" s="135"/>
      <c r="H184" s="134"/>
      <c r="I184" s="135"/>
      <c r="J184" s="134"/>
      <c r="K184" s="134"/>
      <c r="L184" s="135"/>
      <c r="M184" s="134"/>
      <c r="N184" s="119"/>
      <c r="O184" s="120"/>
      <c r="P184" s="120"/>
      <c r="Q184" s="120"/>
      <c r="R184" s="120"/>
      <c r="S184" s="120"/>
      <c r="T184" s="120"/>
      <c r="U184" s="120"/>
      <c r="V184" s="120"/>
      <c r="W184" s="120"/>
    </row>
    <row r="185">
      <c r="A185" s="139"/>
      <c r="B185" s="134"/>
      <c r="C185" s="135"/>
      <c r="D185" s="134"/>
      <c r="E185" s="135"/>
      <c r="F185" s="134"/>
      <c r="G185" s="135"/>
      <c r="H185" s="134"/>
      <c r="I185" s="135"/>
      <c r="J185" s="134"/>
      <c r="K185" s="134"/>
      <c r="L185" s="135"/>
      <c r="M185" s="134"/>
      <c r="N185" s="119"/>
      <c r="O185" s="120"/>
      <c r="P185" s="120"/>
      <c r="Q185" s="120"/>
      <c r="R185" s="120"/>
      <c r="S185" s="120"/>
      <c r="T185" s="120"/>
      <c r="U185" s="120"/>
      <c r="V185" s="120"/>
      <c r="W185" s="120"/>
    </row>
    <row r="186">
      <c r="A186" s="139"/>
      <c r="B186" s="134"/>
      <c r="C186" s="135"/>
      <c r="D186" s="134"/>
      <c r="E186" s="135"/>
      <c r="F186" s="134"/>
      <c r="G186" s="135"/>
      <c r="H186" s="134"/>
      <c r="I186" s="135"/>
      <c r="J186" s="134"/>
      <c r="K186" s="134"/>
      <c r="L186" s="135"/>
      <c r="M186" s="134"/>
      <c r="N186" s="119"/>
      <c r="O186" s="120"/>
      <c r="P186" s="120"/>
      <c r="Q186" s="120"/>
      <c r="R186" s="120"/>
      <c r="S186" s="120"/>
      <c r="T186" s="120"/>
      <c r="U186" s="120"/>
      <c r="V186" s="120"/>
      <c r="W186" s="120"/>
    </row>
    <row r="187">
      <c r="A187" s="139"/>
      <c r="B187" s="134"/>
      <c r="C187" s="135"/>
      <c r="D187" s="134"/>
      <c r="E187" s="135"/>
      <c r="F187" s="134"/>
      <c r="G187" s="135"/>
      <c r="H187" s="134"/>
      <c r="I187" s="135"/>
      <c r="J187" s="134"/>
      <c r="K187" s="134"/>
      <c r="L187" s="135"/>
      <c r="M187" s="134"/>
      <c r="N187" s="119"/>
      <c r="O187" s="120"/>
      <c r="P187" s="120"/>
      <c r="Q187" s="120"/>
      <c r="R187" s="120"/>
      <c r="S187" s="120"/>
      <c r="T187" s="120"/>
      <c r="U187" s="120"/>
      <c r="V187" s="120"/>
      <c r="W187" s="120"/>
    </row>
    <row r="188">
      <c r="A188" s="139"/>
      <c r="B188" s="134"/>
      <c r="C188" s="135"/>
      <c r="D188" s="134"/>
      <c r="E188" s="135"/>
      <c r="F188" s="134"/>
      <c r="G188" s="135"/>
      <c r="H188" s="134"/>
      <c r="I188" s="135"/>
      <c r="J188" s="134"/>
      <c r="K188" s="134"/>
      <c r="L188" s="135"/>
      <c r="M188" s="134"/>
      <c r="N188" s="119"/>
      <c r="O188" s="120"/>
      <c r="P188" s="120"/>
      <c r="Q188" s="120"/>
      <c r="R188" s="120"/>
      <c r="S188" s="120"/>
      <c r="T188" s="120"/>
      <c r="U188" s="120"/>
      <c r="V188" s="120"/>
      <c r="W188" s="120"/>
    </row>
    <row r="189">
      <c r="A189" s="139"/>
      <c r="B189" s="134"/>
      <c r="C189" s="135"/>
      <c r="D189" s="134"/>
      <c r="E189" s="135"/>
      <c r="F189" s="134"/>
      <c r="G189" s="135"/>
      <c r="H189" s="134"/>
      <c r="I189" s="135"/>
      <c r="J189" s="134"/>
      <c r="K189" s="134"/>
      <c r="L189" s="135"/>
      <c r="M189" s="134"/>
      <c r="N189" s="119"/>
      <c r="O189" s="120"/>
      <c r="P189" s="120"/>
      <c r="Q189" s="120"/>
      <c r="R189" s="120"/>
      <c r="S189" s="120"/>
      <c r="T189" s="120"/>
      <c r="U189" s="120"/>
      <c r="V189" s="120"/>
      <c r="W189" s="120"/>
    </row>
    <row r="190">
      <c r="A190" s="139"/>
      <c r="B190" s="134"/>
      <c r="C190" s="135"/>
      <c r="D190" s="134"/>
      <c r="E190" s="135"/>
      <c r="F190" s="134"/>
      <c r="G190" s="135"/>
      <c r="H190" s="134"/>
      <c r="I190" s="135"/>
      <c r="J190" s="134"/>
      <c r="K190" s="134"/>
      <c r="L190" s="135"/>
      <c r="M190" s="134"/>
      <c r="N190" s="119"/>
      <c r="O190" s="120"/>
      <c r="P190" s="120"/>
      <c r="Q190" s="120"/>
      <c r="R190" s="120"/>
      <c r="S190" s="120"/>
      <c r="T190" s="120"/>
      <c r="U190" s="120"/>
      <c r="V190" s="120"/>
      <c r="W190" s="120"/>
    </row>
    <row r="191">
      <c r="A191" s="139"/>
      <c r="B191" s="134"/>
      <c r="C191" s="135"/>
      <c r="D191" s="134"/>
      <c r="E191" s="135"/>
      <c r="F191" s="134"/>
      <c r="G191" s="135"/>
      <c r="H191" s="134"/>
      <c r="I191" s="135"/>
      <c r="J191" s="134"/>
      <c r="K191" s="134"/>
      <c r="L191" s="135"/>
      <c r="M191" s="134"/>
      <c r="N191" s="119"/>
      <c r="O191" s="120"/>
      <c r="P191" s="120"/>
      <c r="Q191" s="120"/>
      <c r="R191" s="120"/>
      <c r="S191" s="120"/>
      <c r="T191" s="120"/>
      <c r="U191" s="120"/>
      <c r="V191" s="120"/>
      <c r="W191" s="120"/>
    </row>
    <row r="192">
      <c r="A192" s="139"/>
      <c r="B192" s="134"/>
      <c r="C192" s="135"/>
      <c r="D192" s="134"/>
      <c r="E192" s="135"/>
      <c r="F192" s="134"/>
      <c r="G192" s="135"/>
      <c r="H192" s="134"/>
      <c r="I192" s="135"/>
      <c r="J192" s="134"/>
      <c r="K192" s="134"/>
      <c r="L192" s="135"/>
      <c r="M192" s="134"/>
      <c r="N192" s="119"/>
      <c r="O192" s="120"/>
      <c r="P192" s="120"/>
      <c r="Q192" s="120"/>
      <c r="R192" s="120"/>
      <c r="S192" s="120"/>
      <c r="T192" s="120"/>
      <c r="U192" s="120"/>
      <c r="V192" s="120"/>
      <c r="W192" s="120"/>
    </row>
    <row r="193">
      <c r="A193" s="139"/>
      <c r="B193" s="134"/>
      <c r="C193" s="135"/>
      <c r="D193" s="134"/>
      <c r="E193" s="135"/>
      <c r="F193" s="134"/>
      <c r="G193" s="135"/>
      <c r="H193" s="134"/>
      <c r="I193" s="135"/>
      <c r="J193" s="134"/>
      <c r="K193" s="134"/>
      <c r="L193" s="135"/>
      <c r="M193" s="134"/>
      <c r="N193" s="119"/>
      <c r="O193" s="120"/>
      <c r="P193" s="120"/>
      <c r="Q193" s="120"/>
      <c r="R193" s="120"/>
      <c r="S193" s="120"/>
      <c r="T193" s="120"/>
      <c r="U193" s="120"/>
      <c r="V193" s="120"/>
      <c r="W193" s="120"/>
    </row>
    <row r="194">
      <c r="A194" s="139"/>
      <c r="B194" s="134"/>
      <c r="C194" s="135"/>
      <c r="D194" s="134"/>
      <c r="E194" s="135"/>
      <c r="F194" s="134"/>
      <c r="G194" s="135"/>
      <c r="H194" s="134"/>
      <c r="I194" s="135"/>
      <c r="J194" s="134"/>
      <c r="K194" s="134"/>
      <c r="L194" s="135"/>
      <c r="M194" s="134"/>
      <c r="N194" s="119"/>
      <c r="O194" s="120"/>
      <c r="P194" s="120"/>
      <c r="Q194" s="120"/>
      <c r="R194" s="120"/>
      <c r="S194" s="120"/>
      <c r="T194" s="120"/>
      <c r="U194" s="120"/>
      <c r="V194" s="120"/>
      <c r="W194" s="120"/>
    </row>
    <row r="195">
      <c r="A195" s="139"/>
      <c r="B195" s="134"/>
      <c r="C195" s="135"/>
      <c r="D195" s="134"/>
      <c r="E195" s="135"/>
      <c r="F195" s="134"/>
      <c r="G195" s="135"/>
      <c r="H195" s="134"/>
      <c r="I195" s="135"/>
      <c r="J195" s="134"/>
      <c r="K195" s="134"/>
      <c r="L195" s="135"/>
      <c r="M195" s="134"/>
      <c r="N195" s="119"/>
      <c r="O195" s="120"/>
      <c r="P195" s="120"/>
      <c r="Q195" s="120"/>
      <c r="R195" s="120"/>
      <c r="S195" s="120"/>
      <c r="T195" s="120"/>
      <c r="U195" s="120"/>
      <c r="V195" s="120"/>
      <c r="W195" s="120"/>
    </row>
    <row r="196">
      <c r="A196" s="139"/>
      <c r="B196" s="134"/>
      <c r="C196" s="135"/>
      <c r="D196" s="134"/>
      <c r="E196" s="135"/>
      <c r="F196" s="134"/>
      <c r="G196" s="135"/>
      <c r="H196" s="134"/>
      <c r="I196" s="135"/>
      <c r="J196" s="134"/>
      <c r="K196" s="134"/>
      <c r="L196" s="135"/>
      <c r="M196" s="134"/>
      <c r="N196" s="119"/>
      <c r="O196" s="120"/>
      <c r="P196" s="120"/>
      <c r="Q196" s="120"/>
      <c r="R196" s="120"/>
      <c r="S196" s="120"/>
      <c r="T196" s="120"/>
      <c r="U196" s="120"/>
      <c r="V196" s="120"/>
      <c r="W196" s="120"/>
    </row>
    <row r="197">
      <c r="A197" s="139"/>
      <c r="B197" s="134"/>
      <c r="C197" s="135"/>
      <c r="D197" s="134"/>
      <c r="E197" s="135"/>
      <c r="F197" s="134"/>
      <c r="G197" s="135"/>
      <c r="H197" s="134"/>
      <c r="I197" s="135"/>
      <c r="J197" s="134"/>
      <c r="K197" s="134"/>
      <c r="L197" s="135"/>
      <c r="M197" s="134"/>
      <c r="N197" s="119"/>
      <c r="O197" s="120"/>
      <c r="P197" s="120"/>
      <c r="Q197" s="120"/>
      <c r="R197" s="120"/>
      <c r="S197" s="120"/>
      <c r="T197" s="120"/>
      <c r="U197" s="120"/>
      <c r="V197" s="120"/>
      <c r="W197" s="120"/>
    </row>
    <row r="198">
      <c r="A198" s="139"/>
      <c r="B198" s="134"/>
      <c r="C198" s="135"/>
      <c r="D198" s="134"/>
      <c r="E198" s="135"/>
      <c r="F198" s="134"/>
      <c r="G198" s="135"/>
      <c r="H198" s="134"/>
      <c r="I198" s="135"/>
      <c r="J198" s="134"/>
      <c r="K198" s="134"/>
      <c r="L198" s="135"/>
      <c r="M198" s="134"/>
      <c r="N198" s="119"/>
      <c r="O198" s="120"/>
      <c r="P198" s="120"/>
      <c r="Q198" s="120"/>
      <c r="R198" s="120"/>
      <c r="S198" s="120"/>
      <c r="T198" s="120"/>
      <c r="U198" s="120"/>
      <c r="V198" s="120"/>
      <c r="W198" s="120"/>
    </row>
    <row r="199">
      <c r="A199" s="139"/>
      <c r="B199" s="134"/>
      <c r="C199" s="135"/>
      <c r="D199" s="134"/>
      <c r="E199" s="135"/>
      <c r="F199" s="134"/>
      <c r="G199" s="135"/>
      <c r="H199" s="134"/>
      <c r="I199" s="135"/>
      <c r="J199" s="134"/>
      <c r="K199" s="134"/>
      <c r="L199" s="135"/>
      <c r="M199" s="134"/>
      <c r="N199" s="119"/>
      <c r="O199" s="120"/>
      <c r="P199" s="120"/>
      <c r="Q199" s="120"/>
      <c r="R199" s="120"/>
      <c r="S199" s="120"/>
      <c r="T199" s="120"/>
      <c r="U199" s="120"/>
      <c r="V199" s="120"/>
      <c r="W199" s="120"/>
    </row>
    <row r="200">
      <c r="A200" s="139"/>
      <c r="B200" s="134"/>
      <c r="C200" s="135"/>
      <c r="D200" s="134"/>
      <c r="E200" s="135"/>
      <c r="F200" s="134"/>
      <c r="G200" s="135"/>
      <c r="H200" s="134"/>
      <c r="I200" s="135"/>
      <c r="J200" s="134"/>
      <c r="K200" s="134"/>
      <c r="L200" s="135"/>
      <c r="M200" s="134"/>
      <c r="N200" s="119"/>
      <c r="O200" s="120"/>
      <c r="P200" s="120"/>
      <c r="Q200" s="120"/>
      <c r="R200" s="120"/>
      <c r="S200" s="120"/>
      <c r="T200" s="120"/>
      <c r="U200" s="120"/>
      <c r="V200" s="120"/>
      <c r="W200" s="120"/>
    </row>
  </sheetData>
  <mergeCells>
    <mergeCell ref="B1:M1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4" min="4" style="0" width="14"/>
    <col collapsed="false" customWidth="true" hidden="false" max="8" min="8" style="0" width="14"/>
    <col collapsed="false" customWidth="true" hidden="false" max="12" min="12" style="0" width="14"/>
    <col collapsed="false" customWidth="true" hidden="false" max="16" min="16" style="0" width="14"/>
    <col collapsed="false" customWidth="true" hidden="false" max="20" min="20" style="0" width="14"/>
    <col collapsed="false" customWidth="true" hidden="false" max="1" min="1" style="0" width="14"/>
    <col collapsed="false" customWidth="true" hidden="false" max="5" min="5" style="0" width="14"/>
    <col collapsed="false" customWidth="true" hidden="false" max="9" min="9" style="0" width="14"/>
    <col collapsed="false" customWidth="true" hidden="false" max="13" min="13" style="0" width="14"/>
    <col collapsed="false" customWidth="true" hidden="false" max="17" min="17" style="0" width="14"/>
    <col collapsed="false" customWidth="true" hidden="false" max="21" min="21" style="0" width="14"/>
    <col collapsed="false" customWidth="true" hidden="false" max="2" min="2" style="0" width="14"/>
    <col collapsed="false" customWidth="true" hidden="false" max="6" min="6" style="0" width="14"/>
    <col collapsed="false" customWidth="true" hidden="false" max="10" min="10" style="0" width="14"/>
    <col collapsed="false" customWidth="true" hidden="false" max="14" min="14" style="0" width="17"/>
    <col collapsed="false" customWidth="true" hidden="false" max="18" min="18" style="0" width="14"/>
    <col collapsed="false" customWidth="true" hidden="false" max="22" min="22" style="0" width="14"/>
    <col collapsed="false" customWidth="true" hidden="false" max="3" min="3" style="0" width="14"/>
    <col collapsed="false" customWidth="true" hidden="false" max="7" min="7" style="0" width="14"/>
    <col collapsed="false" customWidth="true" hidden="false" max="11" min="11" style="0" width="14"/>
    <col collapsed="false" customWidth="true" hidden="false" max="15" min="15" style="0" width="14"/>
    <col collapsed="false" customWidth="true" hidden="false" max="19" min="19" style="0" width="14"/>
    <col collapsed="false" customWidth="true" hidden="false" max="23" min="23" style="0" width="14"/>
  </cols>
  <sheetData>
    <row r="1">
      <c r="A1" s="140"/>
      <c r="B1" s="141" t="s">
        <v>101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2"/>
      <c r="O1" s="143"/>
      <c r="P1" s="143"/>
      <c r="Q1" s="143"/>
      <c r="R1" s="143"/>
      <c r="S1" s="143"/>
      <c r="T1" s="143"/>
      <c r="U1" s="143"/>
      <c r="V1" s="143"/>
      <c r="W1" s="143"/>
    </row>
    <row r="2">
      <c r="A2" s="140" t="s">
        <v>102</v>
      </c>
      <c r="B2" s="144" t="s">
        <v>103</v>
      </c>
      <c r="C2" s="145" t="s">
        <v>104</v>
      </c>
      <c r="D2" s="144" t="s">
        <v>105</v>
      </c>
      <c r="E2" s="145" t="s">
        <v>106</v>
      </c>
      <c r="F2" s="144" t="s">
        <v>107</v>
      </c>
      <c r="G2" s="145" t="s">
        <v>108</v>
      </c>
      <c r="H2" s="144" t="s">
        <v>109</v>
      </c>
      <c r="I2" s="145" t="s">
        <v>110</v>
      </c>
      <c r="J2" s="144" t="s">
        <v>111</v>
      </c>
      <c r="K2" s="145" t="s">
        <v>112</v>
      </c>
      <c r="L2" s="144" t="s">
        <v>113</v>
      </c>
      <c r="M2" s="145" t="s">
        <v>114</v>
      </c>
      <c r="N2" s="146" t="s">
        <v>115</v>
      </c>
      <c r="O2" s="143"/>
      <c r="P2" s="143"/>
      <c r="Q2" s="143"/>
      <c r="R2" s="143"/>
      <c r="S2" s="143"/>
      <c r="T2" s="143"/>
      <c r="U2" s="143"/>
      <c r="V2" s="143"/>
      <c r="W2" s="143"/>
    </row>
    <row r="3">
      <c r="A3" s="147">
        <v>46142</v>
      </c>
      <c r="B3" s="148">
        <v>1530.181</v>
      </c>
      <c r="C3" s="149">
        <v>9413.818</v>
      </c>
      <c r="D3" s="148">
        <v>4912.909</v>
      </c>
      <c r="E3" s="150">
        <v>14674.727</v>
      </c>
      <c r="F3" s="148">
        <v>28722</v>
      </c>
      <c r="G3" s="150">
        <v>16144.545</v>
      </c>
      <c r="H3" s="148">
        <v>17205.09</v>
      </c>
      <c r="I3" s="149">
        <v>17179.454</v>
      </c>
      <c r="J3" s="148">
        <v>3684.909</v>
      </c>
      <c r="K3" s="151"/>
      <c r="L3" s="148"/>
      <c r="M3" s="151"/>
      <c r="N3" s="142">
        <f t="shared" ref="N3:N55" si="0">SUM(B3:M3)</f>
      </c>
      <c r="O3" s="143"/>
      <c r="P3" s="143"/>
      <c r="Q3" s="143"/>
      <c r="R3" s="152">
        <v>28</v>
      </c>
      <c r="S3" s="143"/>
      <c r="T3" s="143"/>
      <c r="U3" s="143"/>
      <c r="V3" s="143"/>
      <c r="W3" s="143"/>
    </row>
    <row r="4">
      <c r="A4" s="147">
        <v>46143</v>
      </c>
      <c r="B4" s="153">
        <v>1172.363</v>
      </c>
      <c r="C4" s="154">
        <v>5903.272</v>
      </c>
      <c r="D4" s="153">
        <v>2697.636</v>
      </c>
      <c r="E4" s="154">
        <v>10189.818</v>
      </c>
      <c r="F4" s="155">
        <v>27755.09</v>
      </c>
      <c r="G4" s="156">
        <v>12782.727</v>
      </c>
      <c r="H4" s="153">
        <v>12325.272</v>
      </c>
      <c r="I4" s="154">
        <v>16150.727</v>
      </c>
      <c r="J4" s="153">
        <v>4095.999</v>
      </c>
      <c r="K4" s="157"/>
      <c r="L4" s="153">
        <v>359.09</v>
      </c>
      <c r="M4" s="151"/>
      <c r="N4" s="142">
        <f t="shared" si="0"/>
      </c>
      <c r="O4" s="143"/>
      <c r="P4" s="143"/>
      <c r="Q4" s="143"/>
      <c r="R4" s="152">
        <v>30</v>
      </c>
      <c r="S4" s="143"/>
      <c r="T4" s="143"/>
      <c r="U4" s="143"/>
      <c r="V4" s="143"/>
      <c r="W4" s="143"/>
    </row>
    <row r="5">
      <c r="A5" s="147">
        <v>46144</v>
      </c>
      <c r="B5" s="153">
        <v>81.272</v>
      </c>
      <c r="C5" s="154">
        <v>8338.363</v>
      </c>
      <c r="D5" s="153">
        <v>2025.272</v>
      </c>
      <c r="E5" s="154">
        <v>8141.09</v>
      </c>
      <c r="F5" s="153">
        <v>29379.454</v>
      </c>
      <c r="G5" s="154">
        <v>12264.909</v>
      </c>
      <c r="H5" s="153">
        <v>8710.363</v>
      </c>
      <c r="I5" s="154">
        <v>10500</v>
      </c>
      <c r="J5" s="153">
        <v>4334.363</v>
      </c>
      <c r="K5" s="157"/>
      <c r="L5" s="153">
        <v>544</v>
      </c>
      <c r="M5" s="151"/>
      <c r="N5" s="142">
        <f t="shared" si="0"/>
      </c>
      <c r="O5" s="143"/>
      <c r="P5" s="143"/>
      <c r="Q5" s="143"/>
      <c r="R5" s="152">
        <v>44</v>
      </c>
      <c r="S5" s="143"/>
      <c r="T5" s="143"/>
      <c r="U5" s="143"/>
      <c r="V5" s="143"/>
      <c r="W5" s="143"/>
    </row>
    <row r="6">
      <c r="A6" s="147">
        <v>46145</v>
      </c>
      <c r="B6" s="153">
        <v>-1652.909</v>
      </c>
      <c r="C6" s="154">
        <v>3978.363</v>
      </c>
      <c r="D6" s="153">
        <v>2683.636</v>
      </c>
      <c r="E6" s="154">
        <v>7701.09</v>
      </c>
      <c r="F6" s="153">
        <v>26752.183</v>
      </c>
      <c r="G6" s="154">
        <v>12943.454</v>
      </c>
      <c r="H6" s="153">
        <v>13609.09</v>
      </c>
      <c r="I6" s="154">
        <v>12188.909</v>
      </c>
      <c r="J6" s="153">
        <v>4065.454</v>
      </c>
      <c r="K6" s="154">
        <v>31.09</v>
      </c>
      <c r="L6" s="153">
        <v>857.272</v>
      </c>
      <c r="M6" s="151"/>
      <c r="N6" s="142">
        <f t="shared" si="0"/>
      </c>
      <c r="O6" s="143"/>
      <c r="P6" s="143"/>
      <c r="Q6" s="143"/>
      <c r="R6" s="152">
        <v>45</v>
      </c>
      <c r="S6" s="143"/>
      <c r="T6" s="143"/>
      <c r="U6" s="143"/>
      <c r="V6" s="143"/>
      <c r="W6" s="143"/>
    </row>
    <row r="7">
      <c r="A7" s="147">
        <v>46146</v>
      </c>
      <c r="B7" s="153">
        <v>606.181</v>
      </c>
      <c r="C7" s="154">
        <v>5665.09</v>
      </c>
      <c r="D7" s="153">
        <v>3942.181</v>
      </c>
      <c r="E7" s="154">
        <v>4017.454</v>
      </c>
      <c r="F7" s="153">
        <v>25570.727</v>
      </c>
      <c r="G7" s="154">
        <v>10912</v>
      </c>
      <c r="H7" s="153">
        <v>16413.636</v>
      </c>
      <c r="I7" s="154">
        <v>19686.181</v>
      </c>
      <c r="J7" s="153">
        <v>6917.456</v>
      </c>
      <c r="K7" s="154">
        <v>387.272</v>
      </c>
      <c r="L7" s="153">
        <v>1311.636</v>
      </c>
      <c r="M7" s="151"/>
      <c r="N7" s="142">
        <f t="shared" si="0"/>
      </c>
      <c r="O7" s="143"/>
      <c r="P7" s="143"/>
      <c r="Q7" s="143"/>
      <c r="R7" s="143"/>
      <c r="S7" s="143"/>
      <c r="T7" s="143"/>
      <c r="U7" s="143"/>
      <c r="V7" s="143"/>
      <c r="W7" s="143"/>
    </row>
    <row r="8">
      <c r="A8" s="147">
        <v>46147</v>
      </c>
      <c r="B8" s="153">
        <v>809.454</v>
      </c>
      <c r="C8" s="154">
        <v>4532.181</v>
      </c>
      <c r="D8" s="153">
        <v>2410.909</v>
      </c>
      <c r="E8" s="154">
        <v>10186.909</v>
      </c>
      <c r="F8" s="153">
        <v>34190.727</v>
      </c>
      <c r="G8" s="154">
        <v>10701.818</v>
      </c>
      <c r="H8" s="153">
        <v>14642.363</v>
      </c>
      <c r="I8" s="154">
        <v>12239.272</v>
      </c>
      <c r="J8" s="153">
        <v>5038.363</v>
      </c>
      <c r="K8" s="154">
        <v>111.454</v>
      </c>
      <c r="L8" s="153">
        <v>1235.454</v>
      </c>
      <c r="M8" s="151"/>
      <c r="N8" s="142">
        <f t="shared" si="0"/>
      </c>
      <c r="O8" s="143"/>
      <c r="P8" s="143"/>
      <c r="Q8" s="143"/>
      <c r="R8" s="143"/>
      <c r="S8" s="143"/>
      <c r="T8" s="143"/>
      <c r="U8" s="143"/>
      <c r="V8" s="143"/>
      <c r="W8" s="143"/>
    </row>
    <row r="9">
      <c r="A9" s="147">
        <v>46148</v>
      </c>
      <c r="B9" s="153">
        <v>-97.818</v>
      </c>
      <c r="C9" s="154">
        <v>6893.454</v>
      </c>
      <c r="D9" s="153">
        <v>3744.909</v>
      </c>
      <c r="E9" s="154">
        <v>8543.09</v>
      </c>
      <c r="F9" s="153">
        <v>36891.818</v>
      </c>
      <c r="G9" s="154">
        <v>12798.909</v>
      </c>
      <c r="H9" s="153">
        <v>17033.636</v>
      </c>
      <c r="I9" s="154">
        <v>13164.363</v>
      </c>
      <c r="J9" s="153">
        <v>4111.454</v>
      </c>
      <c r="K9" s="154">
        <v>1133.09</v>
      </c>
      <c r="L9" s="153">
        <v>175.454</v>
      </c>
      <c r="M9" s="151"/>
      <c r="N9" s="142">
        <f t="shared" si="0"/>
      </c>
      <c r="O9" s="143"/>
      <c r="P9" s="143"/>
      <c r="Q9" s="143"/>
      <c r="R9" s="143"/>
      <c r="S9" s="143"/>
      <c r="T9" s="143"/>
      <c r="U9" s="143"/>
      <c r="V9" s="143"/>
      <c r="W9" s="143"/>
    </row>
    <row r="10">
      <c r="A10" s="147">
        <v>46149</v>
      </c>
      <c r="B10" s="153">
        <v>1791.818</v>
      </c>
      <c r="C10" s="154">
        <v>6501.09</v>
      </c>
      <c r="D10" s="153">
        <v>534.181</v>
      </c>
      <c r="E10" s="154">
        <v>13079.818</v>
      </c>
      <c r="F10" s="153">
        <v>59064.181</v>
      </c>
      <c r="G10" s="154">
        <v>13103.454</v>
      </c>
      <c r="H10" s="153">
        <v>29992.545</v>
      </c>
      <c r="I10" s="154">
        <v>23814.909</v>
      </c>
      <c r="J10" s="153">
        <v>5547.272</v>
      </c>
      <c r="K10" s="154">
        <v>2276.545</v>
      </c>
      <c r="L10" s="153">
        <v>5105.272</v>
      </c>
      <c r="M10" s="151"/>
      <c r="N10" s="142">
        <f t="shared" si="0"/>
      </c>
      <c r="O10" s="143"/>
      <c r="P10" s="143"/>
      <c r="Q10" s="143"/>
      <c r="R10" s="143"/>
      <c r="S10" s="143"/>
      <c r="T10" s="143"/>
      <c r="U10" s="143"/>
      <c r="V10" s="143"/>
      <c r="W10" s="143"/>
    </row>
    <row r="11">
      <c r="A11" s="147">
        <v>46150</v>
      </c>
      <c r="B11" s="153">
        <v>48.363</v>
      </c>
      <c r="C11" s="154">
        <v>7286.545</v>
      </c>
      <c r="D11" s="153">
        <v>4012.909</v>
      </c>
      <c r="E11" s="154">
        <v>11324.545</v>
      </c>
      <c r="F11" s="153">
        <v>34544.909</v>
      </c>
      <c r="G11" s="154">
        <v>12001.636</v>
      </c>
      <c r="H11" s="153">
        <v>7980.363</v>
      </c>
      <c r="I11" s="154">
        <v>16323.636</v>
      </c>
      <c r="J11" s="153">
        <v>6456.545</v>
      </c>
      <c r="K11" s="154">
        <v>3392</v>
      </c>
      <c r="L11" s="153">
        <v>3121.09</v>
      </c>
      <c r="M11" s="151"/>
      <c r="N11" s="142">
        <f t="shared" si="0"/>
      </c>
      <c r="O11" s="143"/>
      <c r="P11" s="143"/>
      <c r="Q11" s="143"/>
      <c r="R11" s="143"/>
      <c r="S11" s="143"/>
      <c r="T11" s="143"/>
      <c r="U11" s="143"/>
      <c r="V11" s="143"/>
      <c r="W11" s="143"/>
    </row>
    <row r="12">
      <c r="A12" s="147">
        <v>46151</v>
      </c>
      <c r="B12" s="153">
        <v>-217.272</v>
      </c>
      <c r="C12" s="154">
        <v>3192.545</v>
      </c>
      <c r="D12" s="153">
        <v>5924</v>
      </c>
      <c r="E12" s="154">
        <v>5687.636</v>
      </c>
      <c r="F12" s="153">
        <v>31341.818</v>
      </c>
      <c r="G12" s="154">
        <v>9682.545</v>
      </c>
      <c r="H12" s="153">
        <v>17824.727</v>
      </c>
      <c r="I12" s="154">
        <v>7722.545</v>
      </c>
      <c r="J12" s="153">
        <v>3846.545</v>
      </c>
      <c r="K12" s="154">
        <v>1925.818</v>
      </c>
      <c r="L12" s="153">
        <v>2373.09</v>
      </c>
      <c r="M12" s="151"/>
      <c r="N12" s="142">
        <f t="shared" si="0"/>
      </c>
      <c r="O12" s="143"/>
      <c r="P12" s="143"/>
      <c r="Q12" s="143"/>
      <c r="R12" s="143"/>
      <c r="S12" s="143"/>
      <c r="T12" s="143"/>
      <c r="U12" s="143"/>
      <c r="V12" s="143"/>
      <c r="W12" s="143"/>
    </row>
    <row r="13">
      <c r="A13" s="147">
        <v>46152</v>
      </c>
      <c r="B13" s="153">
        <v>165.818</v>
      </c>
      <c r="C13" s="154">
        <v>3899.09</v>
      </c>
      <c r="D13" s="153">
        <v>1012.363</v>
      </c>
      <c r="E13" s="154">
        <v>4810.363</v>
      </c>
      <c r="F13" s="153">
        <v>32162.363</v>
      </c>
      <c r="G13" s="154">
        <v>8476.181</v>
      </c>
      <c r="H13" s="153">
        <v>12843.818</v>
      </c>
      <c r="I13" s="154">
        <v>12675.636</v>
      </c>
      <c r="J13" s="153">
        <v>4572.181</v>
      </c>
      <c r="K13" s="154">
        <v>2543.636</v>
      </c>
      <c r="L13" s="153">
        <v>2728.729</v>
      </c>
      <c r="M13" s="151"/>
      <c r="N13" s="142">
        <f t="shared" si="0"/>
      </c>
      <c r="O13" s="143"/>
      <c r="P13" s="143"/>
      <c r="Q13" s="143"/>
      <c r="R13" s="143"/>
      <c r="S13" s="143"/>
      <c r="T13" s="143"/>
      <c r="U13" s="143"/>
      <c r="V13" s="143"/>
      <c r="W13" s="143"/>
    </row>
    <row r="14">
      <c r="A14" s="147">
        <v>46153</v>
      </c>
      <c r="B14" s="153">
        <v>-1368.545</v>
      </c>
      <c r="C14" s="154">
        <v>6589.272</v>
      </c>
      <c r="D14" s="153">
        <v>-268</v>
      </c>
      <c r="E14" s="154">
        <v>2416.727</v>
      </c>
      <c r="F14" s="153">
        <v>29781.09</v>
      </c>
      <c r="G14" s="154">
        <v>6272.181</v>
      </c>
      <c r="H14" s="153">
        <v>13339.818</v>
      </c>
      <c r="I14" s="154">
        <v>-5649.272</v>
      </c>
      <c r="J14" s="153">
        <v>3385.272</v>
      </c>
      <c r="K14" s="154">
        <v>3194.181</v>
      </c>
      <c r="L14" s="153">
        <v>4169.274</v>
      </c>
      <c r="M14" s="151"/>
      <c r="N14" s="142">
        <f t="shared" si="0"/>
      </c>
      <c r="O14" s="143"/>
      <c r="P14" s="143"/>
      <c r="Q14" s="143"/>
      <c r="R14" s="143"/>
      <c r="S14" s="143"/>
      <c r="T14" s="143"/>
      <c r="U14" s="143"/>
      <c r="V14" s="143"/>
      <c r="W14" s="143"/>
    </row>
    <row r="15">
      <c r="A15" s="147">
        <v>46154</v>
      </c>
      <c r="B15" s="153">
        <v>-771.999</v>
      </c>
      <c r="C15" s="154">
        <v>3736.181</v>
      </c>
      <c r="D15" s="153">
        <v>2798.181</v>
      </c>
      <c r="E15" s="154">
        <v>6238.909</v>
      </c>
      <c r="F15" s="153">
        <v>32557.818</v>
      </c>
      <c r="G15" s="154">
        <v>10261.636</v>
      </c>
      <c r="H15" s="153">
        <v>11553.818</v>
      </c>
      <c r="I15" s="154">
        <v>-1483.818</v>
      </c>
      <c r="J15" s="153">
        <v>4416.363</v>
      </c>
      <c r="K15" s="154">
        <v>3636.909</v>
      </c>
      <c r="L15" s="153">
        <v>4646.727</v>
      </c>
      <c r="M15" s="151"/>
      <c r="N15" s="142">
        <f t="shared" si="0"/>
      </c>
      <c r="O15" s="143"/>
      <c r="P15" s="143"/>
      <c r="Q15" s="143"/>
      <c r="R15" s="143"/>
      <c r="S15" s="143"/>
      <c r="T15" s="143"/>
      <c r="U15" s="143"/>
      <c r="V15" s="143"/>
      <c r="W15" s="143"/>
    </row>
    <row r="16">
      <c r="A16" s="147">
        <v>46155</v>
      </c>
      <c r="B16" s="153">
        <v>62.727</v>
      </c>
      <c r="C16" s="154">
        <v>2469.636</v>
      </c>
      <c r="D16" s="153">
        <v>982.545</v>
      </c>
      <c r="E16" s="154">
        <v>6411.09</v>
      </c>
      <c r="F16" s="153">
        <v>34504.181</v>
      </c>
      <c r="G16" s="154">
        <v>11782.727</v>
      </c>
      <c r="H16" s="153">
        <v>11687.999</v>
      </c>
      <c r="I16" s="154">
        <v>9373.272</v>
      </c>
      <c r="J16" s="153">
        <v>5215.456</v>
      </c>
      <c r="K16" s="154">
        <v>4050.909</v>
      </c>
      <c r="L16" s="153">
        <v>5716.727</v>
      </c>
      <c r="M16" s="151"/>
      <c r="N16" s="142">
        <f t="shared" si="0"/>
      </c>
      <c r="O16" s="143"/>
      <c r="P16" s="143"/>
      <c r="Q16" s="143"/>
      <c r="R16" s="143"/>
      <c r="S16" s="143"/>
      <c r="T16" s="143"/>
      <c r="U16" s="143"/>
      <c r="V16" s="143"/>
      <c r="W16" s="143"/>
    </row>
    <row r="17">
      <c r="A17" s="147">
        <v>46156</v>
      </c>
      <c r="B17" s="153">
        <v>163.818</v>
      </c>
      <c r="C17" s="154">
        <v>4997.636</v>
      </c>
      <c r="D17" s="153">
        <v>2380.727</v>
      </c>
      <c r="E17" s="154">
        <v>6759.818</v>
      </c>
      <c r="F17" s="153">
        <v>32001.09</v>
      </c>
      <c r="G17" s="154">
        <v>9034.181</v>
      </c>
      <c r="H17" s="153">
        <v>9920.727</v>
      </c>
      <c r="I17" s="154">
        <v>22806</v>
      </c>
      <c r="J17" s="153">
        <v>4814.727</v>
      </c>
      <c r="K17" s="154">
        <v>3406</v>
      </c>
      <c r="L17" s="153">
        <v>2734.727</v>
      </c>
      <c r="M17" s="151"/>
      <c r="N17" s="142">
        <f t="shared" si="0"/>
      </c>
      <c r="O17" s="143"/>
      <c r="P17" s="143"/>
      <c r="Q17" s="143"/>
      <c r="R17" s="143"/>
      <c r="S17" s="143"/>
      <c r="T17" s="143"/>
      <c r="U17" s="143"/>
      <c r="V17" s="143"/>
      <c r="W17" s="143"/>
    </row>
    <row r="18">
      <c r="A18" s="147">
        <v>46157</v>
      </c>
      <c r="B18" s="153">
        <v>360.363</v>
      </c>
      <c r="C18" s="154">
        <v>3694.181</v>
      </c>
      <c r="D18" s="153">
        <v>2319.272</v>
      </c>
      <c r="E18" s="154">
        <v>6834.727</v>
      </c>
      <c r="F18" s="153">
        <v>40819.454</v>
      </c>
      <c r="G18" s="154">
        <v>13681.09</v>
      </c>
      <c r="H18" s="153">
        <v>11412.909</v>
      </c>
      <c r="I18" s="154">
        <v>15619.636</v>
      </c>
      <c r="J18" s="153">
        <v>6244.727</v>
      </c>
      <c r="K18" s="154">
        <v>1267.636</v>
      </c>
      <c r="L18" s="153">
        <v>2973.818</v>
      </c>
      <c r="M18" s="151"/>
      <c r="N18" s="142">
        <f t="shared" si="0"/>
      </c>
      <c r="O18" s="143"/>
      <c r="P18" s="143"/>
      <c r="Q18" s="143"/>
      <c r="R18" s="143"/>
      <c r="S18" s="143"/>
      <c r="T18" s="143"/>
      <c r="U18" s="143"/>
      <c r="V18" s="143"/>
      <c r="W18" s="143"/>
    </row>
    <row r="19">
      <c r="A19" s="147">
        <v>46158</v>
      </c>
      <c r="B19" s="153">
        <v>186.727</v>
      </c>
      <c r="C19" s="154">
        <v>3236</v>
      </c>
      <c r="D19" s="153">
        <v>1754.181</v>
      </c>
      <c r="E19" s="154">
        <v>6227.09</v>
      </c>
      <c r="F19" s="153">
        <v>31036.181</v>
      </c>
      <c r="G19" s="154">
        <v>20213.999</v>
      </c>
      <c r="H19" s="153">
        <v>10708.363</v>
      </c>
      <c r="I19" s="154">
        <v>8954.563</v>
      </c>
      <c r="J19" s="153">
        <v>9195.636</v>
      </c>
      <c r="K19" s="154">
        <v>4206.909</v>
      </c>
      <c r="L19" s="153">
        <v>2481.454</v>
      </c>
      <c r="M19" s="151"/>
      <c r="N19" s="142">
        <f t="shared" si="0"/>
      </c>
      <c r="O19" s="143"/>
      <c r="P19" s="143"/>
      <c r="Q19" s="143"/>
      <c r="R19" s="143"/>
      <c r="S19" s="143"/>
      <c r="T19" s="143"/>
      <c r="U19" s="143"/>
      <c r="V19" s="143"/>
      <c r="W19" s="143"/>
    </row>
    <row r="20">
      <c r="A20" s="147">
        <v>46159</v>
      </c>
      <c r="B20" s="153">
        <v>-109.818</v>
      </c>
      <c r="C20" s="154">
        <v>3945.09</v>
      </c>
      <c r="D20" s="153">
        <v>2314.909</v>
      </c>
      <c r="E20" s="154">
        <v>9868.181</v>
      </c>
      <c r="F20" s="153">
        <v>21684.909</v>
      </c>
      <c r="G20" s="154">
        <v>18929.272</v>
      </c>
      <c r="H20" s="153">
        <v>7719.818</v>
      </c>
      <c r="I20" s="154">
        <v>24356.181</v>
      </c>
      <c r="J20" s="153">
        <v>6973.272</v>
      </c>
      <c r="K20" s="154">
        <v>3889.09</v>
      </c>
      <c r="L20" s="153">
        <v>4061.636</v>
      </c>
      <c r="M20" s="151"/>
      <c r="N20" s="142">
        <f t="shared" si="0"/>
      </c>
      <c r="O20" s="143"/>
      <c r="P20" s="143"/>
      <c r="Q20" s="143"/>
      <c r="R20" s="143"/>
      <c r="S20" s="143"/>
      <c r="T20" s="143"/>
      <c r="U20" s="143"/>
      <c r="V20" s="143"/>
      <c r="W20" s="143"/>
    </row>
    <row r="21">
      <c r="A21" s="147">
        <v>46160</v>
      </c>
      <c r="B21" s="153">
        <v>-356.545</v>
      </c>
      <c r="C21" s="154">
        <v>2170.909</v>
      </c>
      <c r="D21" s="153">
        <v>1986.727</v>
      </c>
      <c r="E21" s="154">
        <v>4239.636</v>
      </c>
      <c r="F21" s="153">
        <v>17000.363</v>
      </c>
      <c r="G21" s="154">
        <v>13093.272</v>
      </c>
      <c r="H21" s="153">
        <v>10762.363</v>
      </c>
      <c r="I21" s="154">
        <v>622.727</v>
      </c>
      <c r="J21" s="153">
        <v>4259.272</v>
      </c>
      <c r="K21" s="154">
        <v>4515.09</v>
      </c>
      <c r="L21" s="153">
        <v>2675.09</v>
      </c>
      <c r="M21" s="151"/>
      <c r="N21" s="142">
        <f t="shared" si="0"/>
      </c>
      <c r="O21" s="143"/>
      <c r="P21" s="143"/>
      <c r="Q21" s="143"/>
      <c r="R21" s="143"/>
      <c r="S21" s="143"/>
      <c r="T21" s="143"/>
      <c r="U21" s="143"/>
      <c r="V21" s="143"/>
      <c r="W21" s="143"/>
    </row>
    <row r="22">
      <c r="A22" s="147">
        <v>46161</v>
      </c>
      <c r="B22" s="153">
        <v>745.818</v>
      </c>
      <c r="C22" s="154">
        <v>4575.454</v>
      </c>
      <c r="D22" s="148">
        <v>3116.181</v>
      </c>
      <c r="E22" s="149">
        <v>5400.363</v>
      </c>
      <c r="F22" s="153">
        <v>25290</v>
      </c>
      <c r="G22" s="154">
        <v>5829.09</v>
      </c>
      <c r="H22" s="153">
        <v>9095.09</v>
      </c>
      <c r="I22" s="149">
        <v>6201.818</v>
      </c>
      <c r="J22" s="148">
        <v>3395.272</v>
      </c>
      <c r="K22" s="149">
        <v>3744.181</v>
      </c>
      <c r="L22" s="148">
        <v>3362.727</v>
      </c>
      <c r="M22" s="151"/>
      <c r="N22" s="142">
        <f t="shared" si="0"/>
      </c>
      <c r="O22" s="143"/>
      <c r="P22" s="143"/>
      <c r="Q22" s="143"/>
      <c r="R22" s="143"/>
      <c r="S22" s="143"/>
      <c r="T22" s="143"/>
      <c r="U22" s="143"/>
      <c r="V22" s="143"/>
      <c r="W22" s="143"/>
    </row>
    <row r="23">
      <c r="A23" s="147">
        <v>46162</v>
      </c>
      <c r="B23" s="153">
        <v>236.363</v>
      </c>
      <c r="C23" s="154">
        <v>2374.181</v>
      </c>
      <c r="D23" s="153">
        <v>2719.454</v>
      </c>
      <c r="E23" s="154">
        <v>5064</v>
      </c>
      <c r="F23" s="153">
        <v>35622.727</v>
      </c>
      <c r="G23" s="154">
        <v>6836.545</v>
      </c>
      <c r="H23" s="153">
        <v>11359.818</v>
      </c>
      <c r="I23" s="154">
        <v>28295.09</v>
      </c>
      <c r="J23" s="153">
        <v>11448.909</v>
      </c>
      <c r="K23" s="154">
        <v>5304.545</v>
      </c>
      <c r="L23" s="153">
        <v>1408.181</v>
      </c>
      <c r="M23" s="151"/>
      <c r="N23" s="142">
        <f t="shared" si="0"/>
      </c>
      <c r="O23" s="143"/>
      <c r="P23" s="143"/>
      <c r="Q23" s="143"/>
      <c r="R23" s="143"/>
      <c r="S23" s="143"/>
      <c r="T23" s="143"/>
      <c r="U23" s="143"/>
      <c r="V23" s="143"/>
      <c r="W23" s="143"/>
    </row>
    <row r="24">
      <c r="A24" s="147">
        <v>46163</v>
      </c>
      <c r="B24" s="148">
        <v>331.454</v>
      </c>
      <c r="C24" s="149">
        <v>5112.181</v>
      </c>
      <c r="D24" s="148">
        <v>2804.181</v>
      </c>
      <c r="E24" s="149">
        <v>10475.999</v>
      </c>
      <c r="F24" s="153">
        <v>39661.818</v>
      </c>
      <c r="G24" s="154">
        <v>12496.909</v>
      </c>
      <c r="H24" s="148">
        <v>13404.909</v>
      </c>
      <c r="I24" s="149">
        <v>31476.181</v>
      </c>
      <c r="J24" s="153">
        <v>13919.272</v>
      </c>
      <c r="K24" s="149">
        <v>7400.909</v>
      </c>
      <c r="L24" s="148">
        <v>6648</v>
      </c>
      <c r="M24" s="151"/>
      <c r="N24" s="142">
        <f t="shared" si="0"/>
      </c>
      <c r="O24" s="143"/>
      <c r="P24" s="143"/>
      <c r="Q24" s="143"/>
      <c r="R24" s="143"/>
      <c r="S24" s="143"/>
      <c r="T24" s="143"/>
      <c r="U24" s="143"/>
      <c r="V24" s="143"/>
      <c r="W24" s="143"/>
    </row>
    <row r="25">
      <c r="A25" s="147">
        <v>46164</v>
      </c>
      <c r="B25" s="153">
        <v>-77.09</v>
      </c>
      <c r="C25" s="154">
        <v>2992.909</v>
      </c>
      <c r="D25" s="153">
        <v>2974.363</v>
      </c>
      <c r="E25" s="154">
        <v>-139.454</v>
      </c>
      <c r="F25" s="153">
        <v>19344</v>
      </c>
      <c r="G25" s="154">
        <v>8749.636</v>
      </c>
      <c r="H25" s="153">
        <v>11663.818</v>
      </c>
      <c r="I25" s="154">
        <v>10348.545</v>
      </c>
      <c r="J25" s="153">
        <v>8335.454</v>
      </c>
      <c r="K25" s="154">
        <v>4152.727</v>
      </c>
      <c r="L25" s="153">
        <v>4208.363</v>
      </c>
      <c r="M25" s="151"/>
      <c r="N25" s="142">
        <f t="shared" si="0"/>
      </c>
      <c r="O25" s="143"/>
      <c r="P25" s="143"/>
      <c r="Q25" s="143"/>
      <c r="R25" s="143"/>
      <c r="S25" s="143"/>
      <c r="T25" s="143"/>
      <c r="U25" s="143"/>
      <c r="V25" s="143"/>
      <c r="W25" s="143"/>
    </row>
    <row r="26">
      <c r="A26" s="147">
        <v>46165</v>
      </c>
      <c r="B26" s="148">
        <v>349.454</v>
      </c>
      <c r="C26" s="149">
        <v>4425.818</v>
      </c>
      <c r="D26" s="148">
        <v>3988.363</v>
      </c>
      <c r="E26" s="149">
        <v>3986.727</v>
      </c>
      <c r="F26" s="148">
        <v>23539.636</v>
      </c>
      <c r="G26" s="149">
        <v>4154.727</v>
      </c>
      <c r="H26" s="148">
        <v>10308.727</v>
      </c>
      <c r="I26" s="149">
        <v>-7364.545</v>
      </c>
      <c r="J26" s="148">
        <v>6896</v>
      </c>
      <c r="K26" s="149">
        <v>4455.999</v>
      </c>
      <c r="L26" s="148">
        <v>4246.181</v>
      </c>
      <c r="M26" s="151"/>
      <c r="N26" s="142">
        <f t="shared" si="0"/>
      </c>
      <c r="O26" s="143"/>
      <c r="P26" s="143"/>
      <c r="Q26" s="143"/>
      <c r="R26" s="143"/>
      <c r="S26" s="143"/>
      <c r="T26" s="143"/>
      <c r="U26" s="143"/>
      <c r="V26" s="143"/>
      <c r="W26" s="143"/>
    </row>
    <row r="27">
      <c r="A27" s="147">
        <v>46166</v>
      </c>
      <c r="B27" s="148">
        <v>-14.363</v>
      </c>
      <c r="C27" s="149">
        <v>2065.636</v>
      </c>
      <c r="D27" s="148">
        <v>3288.727</v>
      </c>
      <c r="E27" s="149">
        <v>6050.909</v>
      </c>
      <c r="F27" s="148">
        <v>14892</v>
      </c>
      <c r="G27" s="149">
        <v>2317.09</v>
      </c>
      <c r="H27" s="148">
        <v>4801.454</v>
      </c>
      <c r="I27" s="149">
        <v>17888.363</v>
      </c>
      <c r="J27" s="148">
        <v>7751.636</v>
      </c>
      <c r="K27" s="149">
        <v>3681.454</v>
      </c>
      <c r="L27" s="148">
        <v>2709.272</v>
      </c>
      <c r="M27" s="151"/>
      <c r="N27" s="142">
        <f t="shared" si="0"/>
      </c>
      <c r="O27" s="143"/>
      <c r="P27" s="143"/>
      <c r="Q27" s="143"/>
      <c r="R27" s="143"/>
      <c r="S27" s="143"/>
      <c r="T27" s="143"/>
      <c r="U27" s="143"/>
      <c r="V27" s="143"/>
      <c r="W27" s="143"/>
    </row>
    <row r="28">
      <c r="A28" s="147">
        <v>46167</v>
      </c>
      <c r="B28" s="153">
        <v>160.727</v>
      </c>
      <c r="C28" s="154">
        <v>5227.636</v>
      </c>
      <c r="D28" s="153">
        <v>3552.545</v>
      </c>
      <c r="E28" s="154">
        <v>8041.818</v>
      </c>
      <c r="F28" s="148">
        <v>19580.545</v>
      </c>
      <c r="G28" s="149">
        <v>7300.545</v>
      </c>
      <c r="H28" s="153">
        <v>14032</v>
      </c>
      <c r="I28" s="154">
        <v>15728.363</v>
      </c>
      <c r="J28" s="153">
        <v>5513.09</v>
      </c>
      <c r="K28" s="154">
        <v>5418.363</v>
      </c>
      <c r="L28" s="153">
        <v>4040.181</v>
      </c>
      <c r="M28" s="151"/>
      <c r="N28" s="142">
        <f t="shared" si="0"/>
      </c>
      <c r="O28" s="143"/>
      <c r="P28" s="143"/>
      <c r="Q28" s="143"/>
      <c r="R28" s="143"/>
      <c r="S28" s="143"/>
      <c r="T28" s="143"/>
      <c r="U28" s="143"/>
      <c r="V28" s="143"/>
      <c r="W28" s="143"/>
    </row>
    <row r="29">
      <c r="A29" s="147">
        <v>46168</v>
      </c>
      <c r="B29" s="148">
        <v>-218.181</v>
      </c>
      <c r="C29" s="149">
        <v>3413.454</v>
      </c>
      <c r="D29" s="148">
        <v>2196.545</v>
      </c>
      <c r="E29" s="149">
        <v>3564</v>
      </c>
      <c r="F29" s="148">
        <v>33661.454</v>
      </c>
      <c r="G29" s="149">
        <v>800.909</v>
      </c>
      <c r="H29" s="148">
        <v>6970.927</v>
      </c>
      <c r="I29" s="149">
        <v>-2043.272</v>
      </c>
      <c r="J29" s="148">
        <v>5597.272</v>
      </c>
      <c r="K29" s="149">
        <v>5723.818</v>
      </c>
      <c r="L29" s="148">
        <v>4443.454</v>
      </c>
      <c r="M29" s="151"/>
      <c r="N29" s="142">
        <f t="shared" si="0"/>
      </c>
      <c r="O29" s="143"/>
      <c r="P29" s="143"/>
      <c r="Q29" s="143"/>
      <c r="R29" s="143"/>
      <c r="S29" s="143"/>
      <c r="T29" s="143"/>
      <c r="U29" s="143"/>
      <c r="V29" s="143"/>
      <c r="W29" s="143"/>
    </row>
    <row r="30">
      <c r="A30" s="147">
        <v>46169</v>
      </c>
      <c r="B30" s="148">
        <v>39.636</v>
      </c>
      <c r="C30" s="149">
        <v>3404.363</v>
      </c>
      <c r="D30" s="148">
        <v>2810.909</v>
      </c>
      <c r="E30" s="149">
        <v>9821.454</v>
      </c>
      <c r="F30" s="148">
        <v>29724.363</v>
      </c>
      <c r="G30" s="149">
        <v>5586.545</v>
      </c>
      <c r="H30" s="148">
        <v>13223.09</v>
      </c>
      <c r="I30" s="149">
        <v>9065.818</v>
      </c>
      <c r="J30" s="148">
        <v>5117.818</v>
      </c>
      <c r="K30" s="149">
        <v>6624.003</v>
      </c>
      <c r="L30" s="148">
        <v>3240</v>
      </c>
      <c r="M30" s="151"/>
      <c r="N30" s="142">
        <f t="shared" si="0"/>
      </c>
      <c r="O30" s="143"/>
      <c r="P30" s="143"/>
      <c r="Q30" s="143"/>
      <c r="R30" s="143"/>
      <c r="S30" s="143"/>
      <c r="T30" s="143"/>
      <c r="U30" s="143"/>
      <c r="V30" s="143"/>
      <c r="W30" s="143"/>
    </row>
    <row r="31">
      <c r="A31" s="147">
        <v>46170</v>
      </c>
      <c r="B31" s="148">
        <v>366.727</v>
      </c>
      <c r="C31" s="149">
        <v>2671.636</v>
      </c>
      <c r="D31" s="148">
        <v>1049.818</v>
      </c>
      <c r="E31" s="149">
        <v>6089.999</v>
      </c>
      <c r="F31" s="148">
        <v>29371.818</v>
      </c>
      <c r="G31" s="149">
        <v>5086.363</v>
      </c>
      <c r="H31" s="148">
        <v>10252.181</v>
      </c>
      <c r="I31" s="149">
        <v>21889.272</v>
      </c>
      <c r="J31" s="148">
        <v>4998.545</v>
      </c>
      <c r="K31" s="149">
        <v>4734.727</v>
      </c>
      <c r="L31" s="148">
        <v>2084.181</v>
      </c>
      <c r="M31" s="151"/>
      <c r="N31" s="142">
        <f t="shared" si="0"/>
      </c>
      <c r="O31" s="143"/>
      <c r="P31" s="143"/>
      <c r="Q31" s="143"/>
      <c r="R31" s="143"/>
      <c r="S31" s="143"/>
      <c r="T31" s="143"/>
      <c r="U31" s="143"/>
      <c r="V31" s="143"/>
      <c r="W31" s="143"/>
    </row>
    <row r="32">
      <c r="A32" s="147">
        <v>46171</v>
      </c>
      <c r="B32" s="148">
        <v>214.727</v>
      </c>
      <c r="C32" s="149">
        <v>4571.818</v>
      </c>
      <c r="D32" s="148">
        <v>3126.181</v>
      </c>
      <c r="E32" s="149">
        <v>6371.272</v>
      </c>
      <c r="F32" s="148">
        <v>44606.909</v>
      </c>
      <c r="G32" s="149">
        <v>3712</v>
      </c>
      <c r="H32" s="148">
        <v>12787.636</v>
      </c>
      <c r="I32" s="149">
        <v>24095.636</v>
      </c>
      <c r="J32" s="148">
        <v>4761.272</v>
      </c>
      <c r="K32" s="149">
        <v>7504.727</v>
      </c>
      <c r="L32" s="148">
        <v>7273.454</v>
      </c>
      <c r="M32" s="151"/>
      <c r="N32" s="142">
        <f t="shared" si="0"/>
      </c>
      <c r="O32" s="143"/>
      <c r="P32" s="143"/>
      <c r="Q32" s="143"/>
      <c r="R32" s="143"/>
      <c r="S32" s="143"/>
      <c r="T32" s="143"/>
      <c r="U32" s="143"/>
      <c r="V32" s="143"/>
      <c r="W32" s="143"/>
    </row>
    <row r="33">
      <c r="A33" s="147">
        <v>46172</v>
      </c>
      <c r="B33" s="148">
        <v>110.363</v>
      </c>
      <c r="C33" s="149">
        <v>2315.456</v>
      </c>
      <c r="D33" s="148">
        <v>5307.636</v>
      </c>
      <c r="E33" s="149">
        <v>7478.363</v>
      </c>
      <c r="F33" s="148">
        <v>21937.818</v>
      </c>
      <c r="G33" s="149">
        <v>4099.636</v>
      </c>
      <c r="H33" s="148">
        <v>4689.09</v>
      </c>
      <c r="I33" s="149">
        <v>21419.999</v>
      </c>
      <c r="J33" s="148">
        <v>5690.909</v>
      </c>
      <c r="K33" s="149">
        <v>5863.272</v>
      </c>
      <c r="L33" s="148">
        <v>8205.272</v>
      </c>
      <c r="M33" s="151"/>
      <c r="N33" s="142">
        <f t="shared" si="0"/>
      </c>
      <c r="O33" s="143"/>
      <c r="P33" s="143"/>
      <c r="Q33" s="143"/>
      <c r="R33" s="143"/>
      <c r="S33" s="143"/>
      <c r="T33" s="143"/>
      <c r="U33" s="143"/>
      <c r="V33" s="143"/>
      <c r="W33" s="143"/>
    </row>
    <row r="34">
      <c r="A34" s="147">
        <v>46173</v>
      </c>
      <c r="B34" s="148">
        <v>160.909</v>
      </c>
      <c r="C34" s="149">
        <v>675.636</v>
      </c>
      <c r="D34" s="148">
        <v>4972.727</v>
      </c>
      <c r="E34" s="149">
        <v>5387.454</v>
      </c>
      <c r="F34" s="148">
        <v>9085.454</v>
      </c>
      <c r="G34" s="149">
        <v>3386.181</v>
      </c>
      <c r="H34" s="148">
        <v>9183.272</v>
      </c>
      <c r="I34" s="149">
        <v>26931.272</v>
      </c>
      <c r="J34" s="148">
        <v>2277.636</v>
      </c>
      <c r="K34" s="149">
        <v>4455.272</v>
      </c>
      <c r="L34" s="148">
        <v>-1074.909</v>
      </c>
      <c r="M34" s="151"/>
      <c r="N34" s="142">
        <f t="shared" si="0"/>
      </c>
      <c r="O34" s="143"/>
      <c r="P34" s="143"/>
      <c r="Q34" s="143"/>
      <c r="R34" s="143"/>
      <c r="S34" s="143"/>
      <c r="T34" s="143"/>
      <c r="U34" s="143"/>
      <c r="V34" s="143"/>
      <c r="W34" s="143"/>
    </row>
    <row r="35">
      <c r="A35" s="147">
        <v>46174</v>
      </c>
      <c r="B35" s="148">
        <v>52.727</v>
      </c>
      <c r="C35" s="149">
        <v>3689.818</v>
      </c>
      <c r="D35" s="148">
        <v>2262.909</v>
      </c>
      <c r="E35" s="149">
        <v>6782.181</v>
      </c>
      <c r="F35" s="148">
        <v>23046.181</v>
      </c>
      <c r="G35" s="149">
        <v>3312.363</v>
      </c>
      <c r="H35" s="148">
        <v>10319.636</v>
      </c>
      <c r="I35" s="149">
        <v>14643.272</v>
      </c>
      <c r="J35" s="148">
        <v>3004.363</v>
      </c>
      <c r="K35" s="149">
        <v>6003.272</v>
      </c>
      <c r="L35" s="148">
        <v>5234</v>
      </c>
      <c r="M35" s="151"/>
      <c r="N35" s="142">
        <f t="shared" si="0"/>
      </c>
      <c r="O35" s="143"/>
      <c r="P35" s="143"/>
      <c r="Q35" s="143"/>
      <c r="R35" s="143"/>
      <c r="S35" s="143"/>
      <c r="T35" s="143"/>
      <c r="U35" s="143"/>
      <c r="V35" s="143"/>
      <c r="W35" s="143"/>
    </row>
    <row r="36">
      <c r="A36" s="147">
        <v>46175</v>
      </c>
      <c r="B36" s="148">
        <v>57.636</v>
      </c>
      <c r="C36" s="149">
        <v>-85.818</v>
      </c>
      <c r="D36" s="148">
        <v>2833.636</v>
      </c>
      <c r="E36" s="149">
        <v>164.363</v>
      </c>
      <c r="F36" s="148">
        <v>37857.818</v>
      </c>
      <c r="G36" s="149">
        <v>12732</v>
      </c>
      <c r="H36" s="148">
        <v>5657.09</v>
      </c>
      <c r="I36" s="149">
        <v>6950.363</v>
      </c>
      <c r="J36" s="148">
        <v>5050.001</v>
      </c>
      <c r="K36" s="149">
        <v>7384.909</v>
      </c>
      <c r="L36" s="148">
        <v>3430.363</v>
      </c>
      <c r="M36" s="151"/>
      <c r="N36" s="142">
        <f t="shared" si="0"/>
      </c>
      <c r="O36" s="143"/>
      <c r="P36" s="143"/>
      <c r="Q36" s="143"/>
      <c r="R36" s="143"/>
      <c r="S36" s="143"/>
      <c r="T36" s="143"/>
      <c r="U36" s="143"/>
      <c r="V36" s="143"/>
      <c r="W36" s="143"/>
    </row>
    <row r="37">
      <c r="A37" s="147">
        <v>46176</v>
      </c>
      <c r="B37" s="148">
        <v>252.545</v>
      </c>
      <c r="C37" s="149">
        <v>4076.909</v>
      </c>
      <c r="D37" s="148">
        <v>3943.272</v>
      </c>
      <c r="E37" s="149">
        <v>7813.09</v>
      </c>
      <c r="F37" s="148">
        <v>44779.999</v>
      </c>
      <c r="G37" s="149">
        <v>3288.909</v>
      </c>
      <c r="H37" s="148">
        <v>14007.272</v>
      </c>
      <c r="I37" s="149">
        <v>19977.272</v>
      </c>
      <c r="J37" s="148">
        <v>3978.181</v>
      </c>
      <c r="K37" s="149">
        <v>6825.636</v>
      </c>
      <c r="L37" s="148">
        <v>6256</v>
      </c>
      <c r="M37" s="151"/>
      <c r="N37" s="142">
        <f t="shared" si="0"/>
      </c>
      <c r="O37" s="143"/>
      <c r="P37" s="143"/>
      <c r="Q37" s="143"/>
      <c r="R37" s="143"/>
      <c r="S37" s="143"/>
      <c r="T37" s="143"/>
      <c r="U37" s="143"/>
      <c r="V37" s="143"/>
      <c r="W37" s="143"/>
    </row>
    <row r="38">
      <c r="A38" s="147">
        <v>46177</v>
      </c>
      <c r="B38" s="148">
        <v>122.545</v>
      </c>
      <c r="C38" s="149">
        <v>145.09</v>
      </c>
      <c r="D38" s="148">
        <v>4308.909</v>
      </c>
      <c r="E38" s="149">
        <v>12137.09</v>
      </c>
      <c r="F38" s="148">
        <v>21766.909</v>
      </c>
      <c r="G38" s="149">
        <v>3023.454</v>
      </c>
      <c r="H38" s="148">
        <v>10077.09</v>
      </c>
      <c r="I38" s="149">
        <v>19557.638</v>
      </c>
      <c r="J38" s="148">
        <v>4347.454</v>
      </c>
      <c r="K38" s="149">
        <v>6847.09</v>
      </c>
      <c r="L38" s="148">
        <v>1244.909</v>
      </c>
      <c r="M38" s="151"/>
      <c r="N38" s="142">
        <f t="shared" si="0"/>
      </c>
      <c r="O38" s="143"/>
      <c r="P38" s="143"/>
      <c r="Q38" s="143"/>
      <c r="R38" s="143"/>
      <c r="S38" s="143"/>
      <c r="T38" s="143"/>
      <c r="U38" s="143"/>
      <c r="V38" s="143"/>
      <c r="W38" s="143"/>
    </row>
    <row r="39">
      <c r="A39" s="147">
        <v>46178</v>
      </c>
      <c r="B39" s="148">
        <v>318.727</v>
      </c>
      <c r="C39" s="149">
        <v>-32.545</v>
      </c>
      <c r="D39" s="148">
        <v>5094</v>
      </c>
      <c r="E39" s="149">
        <v>11253.09</v>
      </c>
      <c r="F39" s="148">
        <v>51022.181</v>
      </c>
      <c r="G39" s="149">
        <v>8217.999</v>
      </c>
      <c r="H39" s="148">
        <v>12248.181</v>
      </c>
      <c r="I39" s="149">
        <v>25565.818</v>
      </c>
      <c r="J39" s="148">
        <v>1503.09</v>
      </c>
      <c r="K39" s="149">
        <v>10148.363</v>
      </c>
      <c r="L39" s="148">
        <v>3572.181</v>
      </c>
      <c r="M39" s="151"/>
      <c r="N39" s="142">
        <f t="shared" si="0"/>
      </c>
      <c r="O39" s="143"/>
      <c r="P39" s="143"/>
      <c r="Q39" s="143"/>
      <c r="R39" s="143"/>
      <c r="S39" s="143"/>
      <c r="T39" s="143"/>
      <c r="U39" s="143"/>
      <c r="V39" s="143"/>
      <c r="W39" s="143"/>
    </row>
    <row r="40">
      <c r="A40" s="147">
        <v>46179</v>
      </c>
      <c r="B40" s="148">
        <v>77.454</v>
      </c>
      <c r="C40" s="149">
        <v>9264.545</v>
      </c>
      <c r="D40" s="148">
        <v>3932.181</v>
      </c>
      <c r="E40" s="149">
        <v>4631.818</v>
      </c>
      <c r="F40" s="148">
        <v>36243.636</v>
      </c>
      <c r="G40" s="149">
        <v>5297.09</v>
      </c>
      <c r="H40" s="148">
        <v>7507.09</v>
      </c>
      <c r="I40" s="149">
        <v>14489.09</v>
      </c>
      <c r="J40" s="148">
        <v>2999.818</v>
      </c>
      <c r="K40" s="149">
        <v>10244.727</v>
      </c>
      <c r="L40" s="148">
        <v>194.181</v>
      </c>
      <c r="M40" s="151"/>
      <c r="N40" s="142">
        <f t="shared" si="0"/>
      </c>
      <c r="O40" s="143"/>
      <c r="P40" s="143"/>
      <c r="Q40" s="143"/>
      <c r="R40" s="143"/>
      <c r="S40" s="143"/>
      <c r="T40" s="143"/>
      <c r="U40" s="143"/>
      <c r="V40" s="143"/>
      <c r="W40" s="143"/>
    </row>
    <row r="41">
      <c r="A41" s="147">
        <v>46180</v>
      </c>
      <c r="B41" s="148">
        <v>-140.545</v>
      </c>
      <c r="C41" s="149">
        <v>2513.09</v>
      </c>
      <c r="D41" s="148">
        <v>3874.545</v>
      </c>
      <c r="E41" s="149">
        <v>7450.909</v>
      </c>
      <c r="F41" s="148">
        <v>28997.836</v>
      </c>
      <c r="G41" s="149">
        <v>1400.909</v>
      </c>
      <c r="H41" s="148">
        <v>9789.09</v>
      </c>
      <c r="I41" s="149">
        <v>11212.545</v>
      </c>
      <c r="J41" s="148">
        <v>1596.909</v>
      </c>
      <c r="K41" s="149">
        <v>7833.09</v>
      </c>
      <c r="L41" s="148">
        <v>5022.181</v>
      </c>
      <c r="M41" s="151"/>
      <c r="N41" s="142">
        <f t="shared" si="0"/>
      </c>
      <c r="O41" s="143"/>
      <c r="P41" s="143"/>
      <c r="Q41" s="143"/>
      <c r="R41" s="143"/>
      <c r="S41" s="143"/>
      <c r="T41" s="143"/>
      <c r="U41" s="143"/>
      <c r="V41" s="143"/>
      <c r="W41" s="143"/>
    </row>
    <row r="42">
      <c r="A42" s="147">
        <v>46181</v>
      </c>
      <c r="B42" s="148">
        <v>24.545</v>
      </c>
      <c r="C42" s="149">
        <v>3376.727</v>
      </c>
      <c r="D42" s="148">
        <v>1506.909</v>
      </c>
      <c r="E42" s="149">
        <v>1682.727</v>
      </c>
      <c r="F42" s="148">
        <v>14193.454</v>
      </c>
      <c r="G42" s="149">
        <v>1374.727</v>
      </c>
      <c r="H42" s="148">
        <v>11536.363</v>
      </c>
      <c r="I42" s="149">
        <v>11388.545</v>
      </c>
      <c r="J42" s="148">
        <v>-2468.363</v>
      </c>
      <c r="K42" s="149">
        <v>737.454</v>
      </c>
      <c r="L42" s="148">
        <v>3524.181</v>
      </c>
      <c r="M42" s="151"/>
      <c r="N42" s="142">
        <f t="shared" si="0"/>
      </c>
      <c r="O42" s="143"/>
      <c r="P42" s="143"/>
      <c r="Q42" s="143"/>
      <c r="R42" s="143"/>
      <c r="S42" s="143"/>
      <c r="T42" s="143"/>
      <c r="U42" s="143"/>
      <c r="V42" s="143"/>
      <c r="W42" s="143"/>
    </row>
    <row r="43">
      <c r="A43" s="147">
        <v>46182</v>
      </c>
      <c r="B43" s="148">
        <v>1.818</v>
      </c>
      <c r="C43" s="149">
        <v>696.909</v>
      </c>
      <c r="D43" s="148">
        <v>4482.909</v>
      </c>
      <c r="E43" s="149">
        <v>510.545</v>
      </c>
      <c r="F43" s="148">
        <v>25503.09</v>
      </c>
      <c r="G43" s="149">
        <v>1641.272</v>
      </c>
      <c r="H43" s="148">
        <v>1536.363</v>
      </c>
      <c r="I43" s="149">
        <v>6662.909</v>
      </c>
      <c r="J43" s="148">
        <v>81.818</v>
      </c>
      <c r="K43" s="149">
        <v>9862.909</v>
      </c>
      <c r="L43" s="148">
        <v>2554.363</v>
      </c>
      <c r="M43" s="151"/>
      <c r="N43" s="142">
        <f t="shared" si="0"/>
      </c>
      <c r="O43" s="143"/>
      <c r="P43" s="143"/>
      <c r="Q43" s="143"/>
      <c r="R43" s="143"/>
      <c r="S43" s="143"/>
      <c r="T43" s="143"/>
      <c r="U43" s="143"/>
      <c r="V43" s="143"/>
      <c r="W43" s="143"/>
    </row>
    <row r="44">
      <c r="A44" s="147">
        <v>46183</v>
      </c>
      <c r="B44" s="148">
        <v>-224.909</v>
      </c>
      <c r="C44" s="149">
        <v>3245.636</v>
      </c>
      <c r="D44" s="148">
        <v>3712.909</v>
      </c>
      <c r="E44" s="149">
        <v>3631.636</v>
      </c>
      <c r="F44" s="148">
        <v>50849.454</v>
      </c>
      <c r="G44" s="149">
        <v>5964.545</v>
      </c>
      <c r="H44" s="148">
        <v>9331.818</v>
      </c>
      <c r="I44" s="149">
        <v>14852.545</v>
      </c>
      <c r="J44" s="148">
        <v>4522</v>
      </c>
      <c r="K44" s="149">
        <v>8628.745</v>
      </c>
      <c r="L44" s="148">
        <v>3371.636</v>
      </c>
      <c r="M44" s="148">
        <v>407.636</v>
      </c>
      <c r="N44" s="142">
        <f t="shared" si="0"/>
      </c>
      <c r="O44" s="143"/>
      <c r="P44" s="143"/>
      <c r="Q44" s="143"/>
      <c r="R44" s="143"/>
      <c r="S44" s="143"/>
      <c r="T44" s="143"/>
      <c r="U44" s="143"/>
      <c r="V44" s="143"/>
      <c r="W44" s="143"/>
    </row>
    <row r="45">
      <c r="A45" s="147">
        <v>46184</v>
      </c>
      <c r="B45" s="148">
        <v>65.272</v>
      </c>
      <c r="C45" s="149">
        <v>969.818</v>
      </c>
      <c r="D45" s="148">
        <v>3908.363</v>
      </c>
      <c r="E45" s="149">
        <v>5118.181</v>
      </c>
      <c r="F45" s="148">
        <v>27742.727</v>
      </c>
      <c r="G45" s="149">
        <v>3421.272</v>
      </c>
      <c r="H45" s="148">
        <v>13376.545</v>
      </c>
      <c r="I45" s="149">
        <v>18161.818</v>
      </c>
      <c r="J45" s="148">
        <v>2550</v>
      </c>
      <c r="K45" s="149">
        <v>5429.818</v>
      </c>
      <c r="L45" s="148">
        <v>4529.999</v>
      </c>
      <c r="M45" s="148">
        <v>-298.181</v>
      </c>
      <c r="N45" s="142">
        <f t="shared" si="0"/>
      </c>
      <c r="O45" s="143"/>
      <c r="P45" s="143"/>
      <c r="Q45" s="143"/>
      <c r="R45" s="143"/>
      <c r="S45" s="143"/>
      <c r="T45" s="143"/>
      <c r="U45" s="143"/>
      <c r="V45" s="143"/>
      <c r="W45" s="143"/>
    </row>
    <row r="46">
      <c r="A46" s="147">
        <v>46185</v>
      </c>
      <c r="B46" s="148">
        <v>-203.818</v>
      </c>
      <c r="C46" s="149">
        <v>2148</v>
      </c>
      <c r="D46" s="148">
        <v>2628.545</v>
      </c>
      <c r="E46" s="149">
        <v>3763.454</v>
      </c>
      <c r="F46" s="148">
        <v>24824.181</v>
      </c>
      <c r="G46" s="149">
        <v>3614.363</v>
      </c>
      <c r="H46" s="148">
        <v>6434.727</v>
      </c>
      <c r="I46" s="149">
        <v>20452.363</v>
      </c>
      <c r="J46" s="148">
        <v>4108</v>
      </c>
      <c r="K46" s="149">
        <v>6413.636</v>
      </c>
      <c r="L46" s="148">
        <v>2550.909</v>
      </c>
      <c r="M46" s="148">
        <v>2260.727</v>
      </c>
      <c r="N46" s="142">
        <f t="shared" si="0"/>
      </c>
      <c r="O46" s="143"/>
      <c r="P46" s="143"/>
      <c r="Q46" s="143"/>
      <c r="R46" s="143"/>
      <c r="S46" s="143"/>
      <c r="T46" s="143"/>
      <c r="U46" s="143"/>
      <c r="V46" s="143"/>
      <c r="W46" s="143"/>
    </row>
    <row r="47">
      <c r="A47" s="147">
        <v>46186</v>
      </c>
      <c r="B47" s="148">
        <v>-130.909</v>
      </c>
      <c r="C47" s="149">
        <v>1556.545</v>
      </c>
      <c r="D47" s="148">
        <v>1769.636</v>
      </c>
      <c r="E47" s="149">
        <v>10521.272</v>
      </c>
      <c r="F47" s="148">
        <v>33934.727</v>
      </c>
      <c r="G47" s="149">
        <v>3878.363</v>
      </c>
      <c r="H47" s="148">
        <v>3494.363</v>
      </c>
      <c r="I47" s="149">
        <v>17210.181</v>
      </c>
      <c r="J47" s="148">
        <v>1308.909</v>
      </c>
      <c r="K47" s="149">
        <v>5330.727</v>
      </c>
      <c r="L47" s="148">
        <v>4564.909</v>
      </c>
      <c r="M47" s="148">
        <v>2952.727</v>
      </c>
      <c r="N47" s="142">
        <f t="shared" si="0"/>
      </c>
      <c r="O47" s="143"/>
      <c r="P47" s="143"/>
      <c r="Q47" s="143"/>
      <c r="R47" s="143"/>
      <c r="S47" s="143"/>
      <c r="T47" s="143"/>
      <c r="U47" s="143"/>
      <c r="V47" s="143"/>
      <c r="W47" s="143"/>
    </row>
    <row r="48">
      <c r="A48" s="147">
        <v>46187</v>
      </c>
      <c r="B48" s="148">
        <v>497.454</v>
      </c>
      <c r="C48" s="149">
        <v>1556.545</v>
      </c>
      <c r="D48" s="148">
        <v>-6149.272</v>
      </c>
      <c r="E48" s="149">
        <v>4018</v>
      </c>
      <c r="F48" s="148">
        <v>28615.999</v>
      </c>
      <c r="G48" s="149">
        <v>1624.727</v>
      </c>
      <c r="H48" s="148">
        <v>7139.454</v>
      </c>
      <c r="I48" s="149">
        <v>9853.636</v>
      </c>
      <c r="J48" s="148">
        <v>-1548</v>
      </c>
      <c r="K48" s="149">
        <v>10830.545</v>
      </c>
      <c r="L48" s="148">
        <v>4059.818</v>
      </c>
      <c r="M48" s="148">
        <v>2145.454</v>
      </c>
      <c r="N48" s="142">
        <f t="shared" si="0"/>
      </c>
      <c r="O48" s="143"/>
      <c r="P48" s="143"/>
      <c r="Q48" s="143"/>
      <c r="R48" s="143"/>
      <c r="S48" s="143"/>
      <c r="T48" s="143"/>
      <c r="U48" s="143"/>
      <c r="V48" s="143"/>
      <c r="W48" s="143"/>
    </row>
    <row r="49">
      <c r="A49" s="147">
        <v>46188</v>
      </c>
      <c r="B49" s="148">
        <v>35.999</v>
      </c>
      <c r="C49" s="149">
        <v>3306.545</v>
      </c>
      <c r="D49" s="148">
        <v>843.454</v>
      </c>
      <c r="E49" s="149">
        <v>7386.545</v>
      </c>
      <c r="F49" s="148">
        <v>30746.363</v>
      </c>
      <c r="G49" s="149">
        <v>3446.727</v>
      </c>
      <c r="H49" s="148">
        <v>8565.636</v>
      </c>
      <c r="I49" s="149">
        <v>28168.727</v>
      </c>
      <c r="J49" s="148">
        <v>6658</v>
      </c>
      <c r="K49" s="149">
        <v>6946.909</v>
      </c>
      <c r="L49" s="148">
        <v>8921.09</v>
      </c>
      <c r="M49" s="148">
        <v>2912.181</v>
      </c>
      <c r="N49" s="142">
        <f t="shared" si="0"/>
      </c>
      <c r="O49" s="143"/>
      <c r="P49" s="143"/>
      <c r="Q49" s="143"/>
      <c r="R49" s="143"/>
      <c r="S49" s="143"/>
      <c r="T49" s="143"/>
      <c r="U49" s="143"/>
      <c r="V49" s="143"/>
      <c r="W49" s="143"/>
    </row>
    <row r="50">
      <c r="A50" s="147">
        <v>46189</v>
      </c>
      <c r="B50" s="148">
        <v>-179.09</v>
      </c>
      <c r="C50" s="149">
        <v>1389.454</v>
      </c>
      <c r="D50" s="148">
        <v>4682.909</v>
      </c>
      <c r="E50" s="149">
        <v>1856.909</v>
      </c>
      <c r="F50" s="148">
        <v>26363.636</v>
      </c>
      <c r="G50" s="149">
        <v>2734.181</v>
      </c>
      <c r="H50" s="148">
        <v>6579.09</v>
      </c>
      <c r="I50" s="149">
        <v>169.272</v>
      </c>
      <c r="J50" s="148">
        <v>162.363</v>
      </c>
      <c r="K50" s="149">
        <v>6241.636</v>
      </c>
      <c r="L50" s="148">
        <v>2798.909</v>
      </c>
      <c r="M50" s="148">
        <v>3817.09</v>
      </c>
      <c r="N50" s="142">
        <f t="shared" si="0"/>
      </c>
      <c r="O50" s="143"/>
      <c r="P50" s="143"/>
      <c r="Q50" s="143"/>
      <c r="R50" s="143"/>
      <c r="S50" s="143"/>
      <c r="T50" s="143"/>
      <c r="U50" s="143"/>
      <c r="V50" s="143"/>
      <c r="W50" s="143"/>
    </row>
    <row r="51">
      <c r="A51" s="147">
        <v>46190</v>
      </c>
      <c r="B51" s="148">
        <v>44.363</v>
      </c>
      <c r="C51" s="149">
        <v>2631.818</v>
      </c>
      <c r="D51" s="148">
        <v>-2186.909</v>
      </c>
      <c r="E51" s="149">
        <v>3154.363</v>
      </c>
      <c r="F51" s="148">
        <v>26266</v>
      </c>
      <c r="G51" s="149">
        <v>2152.909</v>
      </c>
      <c r="H51" s="148">
        <v>6436.727</v>
      </c>
      <c r="I51" s="149">
        <v>10311.454</v>
      </c>
      <c r="J51" s="148">
        <v>2599.636</v>
      </c>
      <c r="K51" s="149">
        <v>6316.545</v>
      </c>
      <c r="L51" s="148">
        <v>4005.818</v>
      </c>
      <c r="M51" s="148">
        <v>5510.363</v>
      </c>
      <c r="N51" s="142">
        <f t="shared" si="0"/>
      </c>
      <c r="O51" s="143"/>
      <c r="P51" s="143"/>
      <c r="Q51" s="143"/>
      <c r="R51" s="143"/>
      <c r="S51" s="143"/>
      <c r="T51" s="143"/>
      <c r="U51" s="143"/>
      <c r="V51" s="143"/>
      <c r="W51" s="143"/>
    </row>
    <row r="52">
      <c r="A52" s="147">
        <v>46191</v>
      </c>
      <c r="B52" s="148">
        <v>282</v>
      </c>
      <c r="C52" s="149">
        <v>694.545</v>
      </c>
      <c r="D52" s="148">
        <v>7735.818</v>
      </c>
      <c r="E52" s="149">
        <v>6818.909</v>
      </c>
      <c r="F52" s="148">
        <v>28872.91</v>
      </c>
      <c r="G52" s="149">
        <v>-81.454</v>
      </c>
      <c r="H52" s="148">
        <v>6919.454</v>
      </c>
      <c r="I52" s="149">
        <v>18402.4</v>
      </c>
      <c r="J52" s="148">
        <v>2718.363</v>
      </c>
      <c r="K52" s="149">
        <v>8959.272</v>
      </c>
      <c r="L52" s="148">
        <v>3013.09</v>
      </c>
      <c r="M52" s="148">
        <v>2549.454</v>
      </c>
      <c r="N52" s="142">
        <f t="shared" si="0"/>
      </c>
      <c r="O52" s="143"/>
      <c r="P52" s="143"/>
      <c r="Q52" s="143"/>
      <c r="R52" s="143"/>
      <c r="S52" s="143"/>
      <c r="T52" s="143"/>
      <c r="U52" s="143"/>
      <c r="V52" s="143"/>
      <c r="W52" s="143"/>
    </row>
    <row r="53">
      <c r="A53" s="147">
        <v>46192</v>
      </c>
      <c r="B53" s="148">
        <v>-190</v>
      </c>
      <c r="C53" s="149">
        <v>1222.727</v>
      </c>
      <c r="D53" s="148">
        <v>1795.999</v>
      </c>
      <c r="E53" s="149">
        <v>6165.09</v>
      </c>
      <c r="F53" s="148">
        <v>34651.272</v>
      </c>
      <c r="G53" s="149">
        <v>6213.636</v>
      </c>
      <c r="H53" s="148">
        <v>11093.818</v>
      </c>
      <c r="I53" s="149">
        <v>15371.09</v>
      </c>
      <c r="J53" s="148">
        <v>3488.363</v>
      </c>
      <c r="K53" s="149">
        <v>10860.909</v>
      </c>
      <c r="L53" s="148">
        <v>1834.545</v>
      </c>
      <c r="M53" s="148">
        <v>5821.272</v>
      </c>
      <c r="N53" s="142">
        <f t="shared" si="0"/>
      </c>
      <c r="O53" s="143"/>
      <c r="P53" s="143"/>
      <c r="Q53" s="143"/>
      <c r="R53" s="143"/>
      <c r="S53" s="143"/>
      <c r="T53" s="143"/>
      <c r="U53" s="143"/>
      <c r="V53" s="143"/>
      <c r="W53" s="143"/>
    </row>
    <row r="54">
      <c r="A54" s="147">
        <v>46193</v>
      </c>
      <c r="B54" s="158">
        <v>148.545</v>
      </c>
      <c r="C54" s="149">
        <v>3540.909</v>
      </c>
      <c r="D54" s="148">
        <v>1106.363</v>
      </c>
      <c r="E54" s="149">
        <v>4183.636</v>
      </c>
      <c r="F54" s="148">
        <v>25630</v>
      </c>
      <c r="G54" s="149">
        <v>4608.363</v>
      </c>
      <c r="H54" s="148">
        <v>8526.181</v>
      </c>
      <c r="I54" s="149">
        <v>11483.272</v>
      </c>
      <c r="J54" s="148">
        <v>843.454</v>
      </c>
      <c r="K54" s="149">
        <v>17229.999</v>
      </c>
      <c r="L54" s="148">
        <v>3026</v>
      </c>
      <c r="M54" s="148">
        <v>4628.727</v>
      </c>
      <c r="N54" s="142">
        <f t="shared" si="0"/>
      </c>
      <c r="O54" s="143"/>
      <c r="P54" s="143"/>
      <c r="Q54" s="143"/>
      <c r="R54" s="143"/>
      <c r="S54" s="143"/>
      <c r="T54" s="143"/>
      <c r="U54" s="143"/>
      <c r="V54" s="143"/>
      <c r="W54" s="143"/>
    </row>
    <row r="55">
      <c r="A55" s="147">
        <v>46194</v>
      </c>
      <c r="B55" s="158">
        <v>111.454</v>
      </c>
      <c r="C55" s="149">
        <v>2297.818</v>
      </c>
      <c r="D55" s="148">
        <v>2044</v>
      </c>
      <c r="E55" s="149">
        <v>5656.545</v>
      </c>
      <c r="F55" s="148">
        <v>18593.636</v>
      </c>
      <c r="G55" s="149">
        <v>4436.727</v>
      </c>
      <c r="H55" s="148">
        <v>6765.09</v>
      </c>
      <c r="I55" s="149">
        <v>11214.181</v>
      </c>
      <c r="J55" s="148">
        <v>2005.272</v>
      </c>
      <c r="K55" s="149">
        <v>11731.272</v>
      </c>
      <c r="L55" s="148">
        <v>1669.272</v>
      </c>
      <c r="M55" s="148">
        <v>5308.181</v>
      </c>
      <c r="N55" s="142">
        <f t="shared" si="0"/>
      </c>
      <c r="O55" s="143"/>
      <c r="P55" s="143"/>
      <c r="Q55" s="143"/>
      <c r="R55" s="143"/>
      <c r="S55" s="143"/>
      <c r="T55" s="143"/>
      <c r="U55" s="143"/>
      <c r="V55" s="143"/>
      <c r="W55" s="143"/>
    </row>
    <row r="56">
      <c r="A56" s="147">
        <v>46195</v>
      </c>
      <c r="B56" s="153"/>
      <c r="C56" s="154"/>
      <c r="D56" s="153"/>
      <c r="E56" s="154"/>
      <c r="F56" s="153"/>
      <c r="G56" s="154"/>
      <c r="H56" s="153"/>
      <c r="I56" s="154"/>
      <c r="J56" s="153"/>
      <c r="K56" s="154"/>
      <c r="L56" s="153"/>
      <c r="M56" s="153"/>
      <c r="N56" s="142"/>
      <c r="O56" s="143"/>
      <c r="P56" s="143"/>
      <c r="Q56" s="143"/>
      <c r="R56" s="143"/>
      <c r="S56" s="143"/>
      <c r="T56" s="143"/>
      <c r="U56" s="143"/>
      <c r="V56" s="143"/>
      <c r="W56" s="143"/>
    </row>
    <row r="57">
      <c r="A57" s="147">
        <v>46196</v>
      </c>
      <c r="B57" s="153"/>
      <c r="C57" s="154"/>
      <c r="D57" s="153"/>
      <c r="E57" s="154"/>
      <c r="F57" s="153"/>
      <c r="G57" s="154"/>
      <c r="H57" s="153"/>
      <c r="I57" s="154"/>
      <c r="J57" s="153"/>
      <c r="K57" s="154"/>
      <c r="L57" s="153"/>
      <c r="M57" s="153"/>
      <c r="N57" s="142"/>
      <c r="O57" s="143"/>
      <c r="P57" s="143"/>
      <c r="Q57" s="143"/>
      <c r="R57" s="143"/>
      <c r="S57" s="143"/>
      <c r="T57" s="143"/>
      <c r="U57" s="143"/>
      <c r="V57" s="143"/>
      <c r="W57" s="143"/>
    </row>
    <row r="58">
      <c r="A58" s="147">
        <v>46197</v>
      </c>
      <c r="B58" s="153"/>
      <c r="C58" s="154"/>
      <c r="D58" s="153"/>
      <c r="E58" s="154"/>
      <c r="F58" s="153"/>
      <c r="G58" s="154"/>
      <c r="H58" s="153"/>
      <c r="I58" s="154"/>
      <c r="J58" s="153"/>
      <c r="K58" s="154"/>
      <c r="L58" s="153"/>
      <c r="M58" s="153"/>
      <c r="N58" s="142"/>
      <c r="O58" s="143"/>
      <c r="P58" s="143"/>
      <c r="Q58" s="143"/>
      <c r="R58" s="143"/>
      <c r="S58" s="143"/>
      <c r="T58" s="143"/>
      <c r="U58" s="143"/>
      <c r="V58" s="143"/>
      <c r="W58" s="143"/>
    </row>
    <row r="59">
      <c r="A59" s="147">
        <v>46198</v>
      </c>
      <c r="B59" s="153"/>
      <c r="C59" s="154"/>
      <c r="D59" s="153"/>
      <c r="E59" s="154"/>
      <c r="F59" s="153"/>
      <c r="G59" s="154"/>
      <c r="H59" s="153"/>
      <c r="I59" s="154"/>
      <c r="J59" s="153"/>
      <c r="K59" s="154"/>
      <c r="L59" s="153"/>
      <c r="M59" s="153"/>
      <c r="N59" s="142"/>
      <c r="O59" s="143"/>
      <c r="P59" s="143"/>
      <c r="Q59" s="143"/>
      <c r="R59" s="143"/>
      <c r="S59" s="143"/>
      <c r="T59" s="143"/>
      <c r="U59" s="143"/>
      <c r="V59" s="143"/>
      <c r="W59" s="143"/>
    </row>
    <row r="60">
      <c r="A60" s="147">
        <v>46199</v>
      </c>
      <c r="B60" s="153"/>
      <c r="C60" s="154"/>
      <c r="D60" s="153"/>
      <c r="E60" s="154"/>
      <c r="F60" s="153"/>
      <c r="G60" s="154"/>
      <c r="H60" s="153"/>
      <c r="I60" s="154"/>
      <c r="J60" s="153"/>
      <c r="K60" s="154"/>
      <c r="L60" s="153"/>
      <c r="M60" s="153"/>
      <c r="N60" s="142"/>
      <c r="O60" s="143"/>
      <c r="P60" s="143"/>
      <c r="Q60" s="143"/>
      <c r="R60" s="143"/>
      <c r="S60" s="143"/>
      <c r="T60" s="143"/>
      <c r="U60" s="143"/>
      <c r="V60" s="143"/>
      <c r="W60" s="143"/>
    </row>
    <row r="61">
      <c r="A61" s="147">
        <v>46200</v>
      </c>
      <c r="B61" s="153"/>
      <c r="C61" s="154"/>
      <c r="D61" s="153"/>
      <c r="E61" s="154"/>
      <c r="F61" s="153"/>
      <c r="G61" s="154"/>
      <c r="H61" s="153"/>
      <c r="I61" s="154"/>
      <c r="J61" s="153"/>
      <c r="K61" s="154"/>
      <c r="L61" s="153"/>
      <c r="M61" s="153"/>
      <c r="N61" s="142"/>
      <c r="O61" s="143"/>
      <c r="P61" s="143"/>
      <c r="Q61" s="143"/>
      <c r="R61" s="143"/>
      <c r="S61" s="143"/>
      <c r="T61" s="143"/>
      <c r="U61" s="143"/>
      <c r="V61" s="143"/>
      <c r="W61" s="143"/>
    </row>
    <row r="62">
      <c r="A62" s="147">
        <v>46201</v>
      </c>
      <c r="B62" s="153"/>
      <c r="C62" s="154"/>
      <c r="D62" s="153"/>
      <c r="E62" s="154"/>
      <c r="F62" s="153"/>
      <c r="G62" s="154"/>
      <c r="H62" s="153"/>
      <c r="I62" s="154"/>
      <c r="J62" s="153"/>
      <c r="K62" s="154"/>
      <c r="L62" s="153"/>
      <c r="M62" s="153"/>
      <c r="N62" s="142"/>
      <c r="O62" s="143"/>
      <c r="P62" s="143"/>
      <c r="Q62" s="143"/>
      <c r="R62" s="143"/>
      <c r="S62" s="143"/>
      <c r="T62" s="143"/>
      <c r="U62" s="143"/>
      <c r="V62" s="143"/>
      <c r="W62" s="143"/>
    </row>
    <row r="63">
      <c r="A63" s="147">
        <v>46202</v>
      </c>
      <c r="B63" s="153"/>
      <c r="C63" s="154"/>
      <c r="D63" s="153"/>
      <c r="E63" s="154"/>
      <c r="F63" s="153"/>
      <c r="G63" s="154"/>
      <c r="H63" s="153"/>
      <c r="I63" s="154"/>
      <c r="J63" s="153"/>
      <c r="K63" s="154"/>
      <c r="L63" s="153"/>
      <c r="M63" s="153"/>
      <c r="N63" s="142"/>
      <c r="O63" s="143"/>
      <c r="P63" s="143"/>
      <c r="Q63" s="143"/>
      <c r="R63" s="143"/>
      <c r="S63" s="143"/>
      <c r="T63" s="143"/>
      <c r="U63" s="143"/>
      <c r="V63" s="143"/>
      <c r="W63" s="143"/>
    </row>
    <row r="64">
      <c r="A64" s="147">
        <v>46203</v>
      </c>
      <c r="B64" s="153"/>
      <c r="C64" s="154"/>
      <c r="D64" s="153"/>
      <c r="E64" s="154"/>
      <c r="F64" s="153"/>
      <c r="G64" s="154"/>
      <c r="H64" s="153"/>
      <c r="I64" s="154"/>
      <c r="J64" s="153"/>
      <c r="K64" s="154"/>
      <c r="L64" s="153"/>
      <c r="M64" s="153"/>
      <c r="N64" s="142"/>
      <c r="O64" s="143"/>
      <c r="P64" s="143"/>
      <c r="Q64" s="143"/>
      <c r="R64" s="143"/>
      <c r="S64" s="143"/>
      <c r="T64" s="143"/>
      <c r="U64" s="143"/>
      <c r="V64" s="143"/>
      <c r="W64" s="143"/>
    </row>
    <row r="65">
      <c r="A65" s="147">
        <v>46204</v>
      </c>
      <c r="B65" s="153"/>
      <c r="C65" s="154"/>
      <c r="D65" s="153"/>
      <c r="E65" s="154"/>
      <c r="F65" s="153"/>
      <c r="G65" s="154"/>
      <c r="H65" s="153"/>
      <c r="I65" s="154"/>
      <c r="J65" s="153"/>
      <c r="K65" s="154"/>
      <c r="L65" s="153"/>
      <c r="M65" s="153"/>
      <c r="N65" s="142"/>
      <c r="O65" s="143"/>
      <c r="P65" s="143"/>
      <c r="Q65" s="143"/>
      <c r="R65" s="143"/>
      <c r="S65" s="143"/>
      <c r="T65" s="143"/>
      <c r="U65" s="143"/>
      <c r="V65" s="143"/>
      <c r="W65" s="143"/>
    </row>
    <row r="66">
      <c r="A66" s="147">
        <v>46205</v>
      </c>
      <c r="B66" s="153"/>
      <c r="C66" s="154"/>
      <c r="D66" s="153"/>
      <c r="E66" s="154"/>
      <c r="F66" s="153"/>
      <c r="G66" s="154"/>
      <c r="H66" s="153"/>
      <c r="I66" s="154"/>
      <c r="J66" s="153"/>
      <c r="K66" s="154"/>
      <c r="L66" s="153"/>
      <c r="M66" s="153"/>
      <c r="N66" s="142"/>
      <c r="O66" s="143"/>
      <c r="P66" s="143"/>
      <c r="Q66" s="143"/>
      <c r="R66" s="143"/>
      <c r="S66" s="143"/>
      <c r="T66" s="143"/>
      <c r="U66" s="143"/>
      <c r="V66" s="143"/>
      <c r="W66" s="143"/>
    </row>
    <row r="67">
      <c r="A67" s="147">
        <v>46206</v>
      </c>
      <c r="B67" s="153"/>
      <c r="C67" s="154"/>
      <c r="D67" s="153"/>
      <c r="E67" s="154"/>
      <c r="F67" s="153"/>
      <c r="G67" s="154"/>
      <c r="H67" s="153"/>
      <c r="I67" s="154"/>
      <c r="J67" s="153"/>
      <c r="K67" s="154"/>
      <c r="L67" s="153"/>
      <c r="M67" s="153"/>
      <c r="N67" s="142"/>
      <c r="O67" s="143"/>
      <c r="P67" s="143"/>
      <c r="Q67" s="143"/>
      <c r="R67" s="143"/>
      <c r="S67" s="143"/>
      <c r="T67" s="143"/>
      <c r="U67" s="143"/>
      <c r="V67" s="143"/>
      <c r="W67" s="143"/>
    </row>
    <row r="68">
      <c r="A68" s="147">
        <v>46207</v>
      </c>
      <c r="B68" s="153"/>
      <c r="C68" s="154"/>
      <c r="D68" s="153"/>
      <c r="E68" s="154"/>
      <c r="F68" s="153"/>
      <c r="G68" s="154"/>
      <c r="H68" s="153"/>
      <c r="I68" s="154"/>
      <c r="J68" s="153"/>
      <c r="K68" s="154"/>
      <c r="L68" s="153"/>
      <c r="M68" s="153"/>
      <c r="N68" s="142"/>
      <c r="O68" s="143"/>
      <c r="P68" s="143"/>
      <c r="Q68" s="143"/>
      <c r="R68" s="143"/>
      <c r="S68" s="143"/>
      <c r="T68" s="143"/>
      <c r="U68" s="143"/>
      <c r="V68" s="143"/>
      <c r="W68" s="143"/>
    </row>
    <row r="69">
      <c r="A69" s="147">
        <v>46208</v>
      </c>
      <c r="B69" s="153"/>
      <c r="C69" s="154"/>
      <c r="D69" s="153"/>
      <c r="E69" s="154"/>
      <c r="F69" s="153"/>
      <c r="G69" s="154"/>
      <c r="H69" s="153"/>
      <c r="I69" s="154"/>
      <c r="J69" s="153"/>
      <c r="K69" s="154"/>
      <c r="L69" s="153"/>
      <c r="M69" s="153"/>
      <c r="N69" s="142"/>
      <c r="O69" s="143"/>
      <c r="P69" s="143"/>
      <c r="Q69" s="143"/>
      <c r="R69" s="143"/>
      <c r="S69" s="143"/>
      <c r="T69" s="143"/>
      <c r="U69" s="143"/>
      <c r="V69" s="143"/>
      <c r="W69" s="143"/>
    </row>
    <row r="70">
      <c r="A70" s="147">
        <v>46209</v>
      </c>
      <c r="B70" s="153"/>
      <c r="C70" s="154"/>
      <c r="D70" s="153"/>
      <c r="E70" s="154"/>
      <c r="F70" s="153"/>
      <c r="G70" s="154"/>
      <c r="H70" s="153"/>
      <c r="I70" s="154"/>
      <c r="J70" s="153"/>
      <c r="K70" s="154"/>
      <c r="L70" s="153"/>
      <c r="M70" s="153"/>
      <c r="N70" s="142"/>
      <c r="O70" s="143"/>
      <c r="P70" s="143"/>
      <c r="Q70" s="143"/>
      <c r="R70" s="143"/>
      <c r="S70" s="143"/>
      <c r="T70" s="143"/>
      <c r="U70" s="143"/>
      <c r="V70" s="143"/>
      <c r="W70" s="143"/>
    </row>
    <row r="71">
      <c r="A71" s="147">
        <v>46210</v>
      </c>
      <c r="B71" s="153"/>
      <c r="C71" s="154"/>
      <c r="D71" s="153"/>
      <c r="E71" s="154"/>
      <c r="F71" s="153"/>
      <c r="G71" s="154"/>
      <c r="H71" s="153"/>
      <c r="I71" s="154"/>
      <c r="J71" s="153"/>
      <c r="K71" s="154"/>
      <c r="L71" s="153"/>
      <c r="M71" s="153"/>
      <c r="N71" s="142"/>
      <c r="O71" s="143"/>
      <c r="P71" s="143"/>
      <c r="Q71" s="143"/>
      <c r="R71" s="143"/>
      <c r="S71" s="143"/>
      <c r="T71" s="143"/>
      <c r="U71" s="143"/>
      <c r="V71" s="143"/>
      <c r="W71" s="143"/>
    </row>
    <row r="72">
      <c r="A72" s="147">
        <v>46211</v>
      </c>
      <c r="B72" s="153"/>
      <c r="C72" s="154"/>
      <c r="D72" s="153"/>
      <c r="E72" s="154"/>
      <c r="F72" s="153"/>
      <c r="G72" s="154"/>
      <c r="H72" s="153"/>
      <c r="I72" s="154"/>
      <c r="J72" s="153"/>
      <c r="K72" s="154"/>
      <c r="L72" s="153"/>
      <c r="M72" s="153"/>
      <c r="N72" s="142"/>
      <c r="O72" s="143"/>
      <c r="P72" s="143"/>
      <c r="Q72" s="143"/>
      <c r="R72" s="143"/>
      <c r="S72" s="143"/>
      <c r="T72" s="143"/>
      <c r="U72" s="143"/>
      <c r="V72" s="143"/>
      <c r="W72" s="143"/>
    </row>
    <row r="73">
      <c r="A73" s="147">
        <v>46212</v>
      </c>
      <c r="B73" s="153"/>
      <c r="C73" s="154"/>
      <c r="D73" s="153"/>
      <c r="E73" s="154"/>
      <c r="F73" s="153"/>
      <c r="G73" s="154"/>
      <c r="H73" s="153"/>
      <c r="I73" s="154"/>
      <c r="J73" s="153"/>
      <c r="K73" s="154"/>
      <c r="L73" s="153"/>
      <c r="M73" s="153"/>
      <c r="N73" s="142"/>
      <c r="O73" s="143"/>
      <c r="P73" s="143"/>
      <c r="Q73" s="143"/>
      <c r="R73" s="143"/>
      <c r="S73" s="143"/>
      <c r="T73" s="143"/>
      <c r="U73" s="143"/>
      <c r="V73" s="143"/>
      <c r="W73" s="143"/>
    </row>
    <row r="74">
      <c r="A74" s="147">
        <v>46213</v>
      </c>
      <c r="B74" s="153"/>
      <c r="C74" s="154"/>
      <c r="D74" s="153"/>
      <c r="E74" s="154"/>
      <c r="F74" s="153"/>
      <c r="G74" s="154"/>
      <c r="H74" s="153"/>
      <c r="I74" s="154"/>
      <c r="J74" s="153"/>
      <c r="K74" s="154"/>
      <c r="L74" s="153"/>
      <c r="M74" s="153"/>
      <c r="N74" s="142"/>
      <c r="O74" s="143"/>
      <c r="P74" s="143"/>
      <c r="Q74" s="143"/>
      <c r="R74" s="143"/>
      <c r="S74" s="143"/>
      <c r="T74" s="143"/>
      <c r="U74" s="143"/>
      <c r="V74" s="143"/>
      <c r="W74" s="143"/>
    </row>
    <row r="75">
      <c r="A75" s="147">
        <v>46214</v>
      </c>
      <c r="B75" s="153"/>
      <c r="C75" s="154"/>
      <c r="D75" s="153"/>
      <c r="E75" s="154"/>
      <c r="F75" s="153"/>
      <c r="G75" s="154"/>
      <c r="H75" s="153"/>
      <c r="I75" s="154"/>
      <c r="J75" s="153"/>
      <c r="K75" s="154"/>
      <c r="L75" s="153"/>
      <c r="M75" s="153"/>
      <c r="N75" s="142"/>
      <c r="O75" s="143"/>
      <c r="P75" s="143"/>
      <c r="Q75" s="143"/>
      <c r="R75" s="143"/>
      <c r="S75" s="143"/>
      <c r="T75" s="143"/>
      <c r="U75" s="143"/>
      <c r="V75" s="143"/>
      <c r="W75" s="143"/>
    </row>
    <row r="76">
      <c r="A76" s="147">
        <v>46215</v>
      </c>
      <c r="B76" s="153"/>
      <c r="C76" s="154"/>
      <c r="D76" s="153"/>
      <c r="E76" s="154"/>
      <c r="F76" s="153"/>
      <c r="G76" s="154"/>
      <c r="H76" s="153"/>
      <c r="I76" s="154"/>
      <c r="J76" s="153"/>
      <c r="K76" s="154"/>
      <c r="L76" s="153"/>
      <c r="M76" s="153"/>
      <c r="N76" s="142"/>
      <c r="O76" s="143"/>
      <c r="P76" s="143"/>
      <c r="Q76" s="143"/>
      <c r="R76" s="143"/>
      <c r="S76" s="143"/>
      <c r="T76" s="143"/>
      <c r="U76" s="143"/>
      <c r="V76" s="143"/>
      <c r="W76" s="143"/>
    </row>
    <row r="77">
      <c r="A77" s="147">
        <v>46216</v>
      </c>
      <c r="B77" s="153"/>
      <c r="C77" s="154"/>
      <c r="D77" s="153"/>
      <c r="E77" s="154"/>
      <c r="F77" s="153"/>
      <c r="G77" s="154"/>
      <c r="H77" s="153"/>
      <c r="I77" s="154"/>
      <c r="J77" s="153"/>
      <c r="K77" s="154"/>
      <c r="L77" s="153"/>
      <c r="M77" s="153"/>
      <c r="N77" s="142"/>
      <c r="O77" s="143"/>
      <c r="P77" s="143"/>
      <c r="Q77" s="143"/>
      <c r="R77" s="143"/>
      <c r="S77" s="143"/>
      <c r="T77" s="143"/>
      <c r="U77" s="143"/>
      <c r="V77" s="143"/>
      <c r="W77" s="143"/>
    </row>
    <row r="78">
      <c r="A78" s="147">
        <v>46217</v>
      </c>
      <c r="B78" s="153"/>
      <c r="C78" s="154"/>
      <c r="D78" s="153"/>
      <c r="E78" s="154"/>
      <c r="F78" s="153"/>
      <c r="G78" s="154"/>
      <c r="H78" s="153"/>
      <c r="I78" s="154"/>
      <c r="J78" s="153"/>
      <c r="K78" s="154"/>
      <c r="L78" s="153"/>
      <c r="M78" s="153"/>
      <c r="N78" s="142"/>
      <c r="O78" s="143"/>
      <c r="P78" s="143"/>
      <c r="Q78" s="143"/>
      <c r="R78" s="143"/>
      <c r="S78" s="143"/>
      <c r="T78" s="143"/>
      <c r="U78" s="143"/>
      <c r="V78" s="143"/>
      <c r="W78" s="143"/>
    </row>
    <row r="79">
      <c r="A79" s="147">
        <v>46218</v>
      </c>
      <c r="B79" s="153"/>
      <c r="C79" s="154"/>
      <c r="D79" s="153"/>
      <c r="E79" s="154"/>
      <c r="F79" s="153"/>
      <c r="G79" s="154"/>
      <c r="H79" s="153"/>
      <c r="I79" s="154"/>
      <c r="J79" s="153"/>
      <c r="K79" s="154"/>
      <c r="L79" s="153"/>
      <c r="M79" s="153"/>
      <c r="N79" s="142"/>
      <c r="O79" s="143"/>
      <c r="P79" s="143"/>
      <c r="Q79" s="143"/>
      <c r="R79" s="143"/>
      <c r="S79" s="143"/>
      <c r="T79" s="143"/>
      <c r="U79" s="143"/>
      <c r="V79" s="143"/>
      <c r="W79" s="143"/>
    </row>
    <row r="80">
      <c r="A80" s="147">
        <v>46219</v>
      </c>
      <c r="B80" s="153"/>
      <c r="C80" s="154"/>
      <c r="D80" s="153"/>
      <c r="E80" s="154"/>
      <c r="F80" s="153"/>
      <c r="G80" s="154"/>
      <c r="H80" s="153"/>
      <c r="I80" s="154"/>
      <c r="J80" s="153"/>
      <c r="K80" s="154"/>
      <c r="L80" s="153"/>
      <c r="M80" s="153"/>
      <c r="N80" s="142"/>
      <c r="O80" s="143"/>
      <c r="P80" s="143"/>
      <c r="Q80" s="143"/>
      <c r="R80" s="143"/>
      <c r="S80" s="143"/>
      <c r="T80" s="143"/>
      <c r="U80" s="143"/>
      <c r="V80" s="143"/>
      <c r="W80" s="143"/>
    </row>
    <row r="81">
      <c r="A81" s="147">
        <v>46220</v>
      </c>
      <c r="B81" s="153"/>
      <c r="C81" s="154"/>
      <c r="D81" s="153"/>
      <c r="E81" s="154"/>
      <c r="F81" s="153"/>
      <c r="G81" s="154"/>
      <c r="H81" s="153"/>
      <c r="I81" s="154"/>
      <c r="J81" s="153"/>
      <c r="K81" s="154"/>
      <c r="L81" s="153"/>
      <c r="M81" s="153"/>
      <c r="N81" s="142"/>
      <c r="O81" s="143"/>
      <c r="P81" s="143"/>
      <c r="Q81" s="143"/>
      <c r="R81" s="143"/>
      <c r="S81" s="143"/>
      <c r="T81" s="143"/>
      <c r="U81" s="143"/>
      <c r="V81" s="143"/>
      <c r="W81" s="143"/>
    </row>
    <row r="82">
      <c r="A82" s="147">
        <v>46221</v>
      </c>
      <c r="B82" s="153"/>
      <c r="C82" s="154"/>
      <c r="D82" s="153"/>
      <c r="E82" s="154"/>
      <c r="F82" s="153"/>
      <c r="G82" s="154"/>
      <c r="H82" s="153"/>
      <c r="I82" s="154"/>
      <c r="J82" s="153"/>
      <c r="K82" s="154"/>
      <c r="L82" s="153"/>
      <c r="M82" s="153"/>
      <c r="N82" s="142"/>
      <c r="O82" s="143"/>
      <c r="P82" s="143"/>
      <c r="Q82" s="143"/>
      <c r="R82" s="143"/>
      <c r="S82" s="143"/>
      <c r="T82" s="143"/>
      <c r="U82" s="143"/>
      <c r="V82" s="143"/>
      <c r="W82" s="143"/>
    </row>
    <row r="83">
      <c r="A83" s="147">
        <v>46222</v>
      </c>
      <c r="B83" s="153"/>
      <c r="C83" s="154"/>
      <c r="D83" s="153"/>
      <c r="E83" s="154"/>
      <c r="F83" s="153"/>
      <c r="G83" s="154"/>
      <c r="H83" s="153"/>
      <c r="I83" s="154"/>
      <c r="J83" s="153"/>
      <c r="K83" s="154"/>
      <c r="L83" s="153"/>
      <c r="M83" s="153"/>
      <c r="N83" s="142"/>
      <c r="O83" s="143"/>
      <c r="P83" s="143"/>
      <c r="Q83" s="143"/>
      <c r="R83" s="143"/>
      <c r="S83" s="143"/>
      <c r="T83" s="143"/>
      <c r="U83" s="143"/>
      <c r="V83" s="143"/>
      <c r="W83" s="143"/>
    </row>
    <row r="84">
      <c r="A84" s="147">
        <v>46223</v>
      </c>
      <c r="B84" s="153"/>
      <c r="C84" s="154"/>
      <c r="D84" s="153"/>
      <c r="E84" s="154"/>
      <c r="F84" s="153"/>
      <c r="G84" s="154"/>
      <c r="H84" s="153"/>
      <c r="I84" s="154"/>
      <c r="J84" s="153"/>
      <c r="K84" s="154"/>
      <c r="L84" s="153"/>
      <c r="M84" s="153"/>
      <c r="N84" s="142"/>
      <c r="O84" s="143"/>
      <c r="P84" s="143"/>
      <c r="Q84" s="143"/>
      <c r="R84" s="143"/>
      <c r="S84" s="143"/>
      <c r="T84" s="143"/>
      <c r="U84" s="143"/>
      <c r="V84" s="143"/>
      <c r="W84" s="143"/>
    </row>
    <row r="85">
      <c r="A85" s="147">
        <v>46224</v>
      </c>
      <c r="B85" s="153"/>
      <c r="C85" s="154"/>
      <c r="D85" s="153"/>
      <c r="E85" s="154"/>
      <c r="F85" s="153"/>
      <c r="G85" s="154"/>
      <c r="H85" s="153"/>
      <c r="I85" s="154"/>
      <c r="J85" s="153"/>
      <c r="K85" s="154"/>
      <c r="L85" s="153"/>
      <c r="M85" s="153"/>
      <c r="N85" s="142"/>
      <c r="O85" s="143"/>
      <c r="P85" s="143"/>
      <c r="Q85" s="143"/>
      <c r="R85" s="143"/>
      <c r="S85" s="143"/>
      <c r="T85" s="143"/>
      <c r="U85" s="143"/>
      <c r="V85" s="143"/>
      <c r="W85" s="143"/>
    </row>
    <row r="86">
      <c r="A86" s="147">
        <v>46225</v>
      </c>
      <c r="B86" s="153"/>
      <c r="C86" s="154"/>
      <c r="D86" s="153"/>
      <c r="E86" s="154"/>
      <c r="F86" s="153"/>
      <c r="G86" s="154"/>
      <c r="H86" s="153"/>
      <c r="I86" s="154"/>
      <c r="J86" s="153"/>
      <c r="K86" s="154"/>
      <c r="L86" s="153"/>
      <c r="M86" s="153"/>
      <c r="N86" s="142"/>
      <c r="O86" s="143"/>
      <c r="P86" s="143"/>
      <c r="Q86" s="143"/>
      <c r="R86" s="143"/>
      <c r="S86" s="143"/>
      <c r="T86" s="143"/>
      <c r="U86" s="143"/>
      <c r="V86" s="143"/>
      <c r="W86" s="143"/>
    </row>
    <row r="87">
      <c r="A87" s="147">
        <v>46226</v>
      </c>
      <c r="B87" s="153"/>
      <c r="C87" s="154"/>
      <c r="D87" s="153"/>
      <c r="E87" s="154"/>
      <c r="F87" s="153"/>
      <c r="G87" s="154"/>
      <c r="H87" s="153"/>
      <c r="I87" s="154"/>
      <c r="J87" s="153"/>
      <c r="K87" s="154"/>
      <c r="L87" s="153"/>
      <c r="M87" s="153"/>
      <c r="N87" s="142"/>
      <c r="O87" s="143"/>
      <c r="P87" s="143"/>
      <c r="Q87" s="143"/>
      <c r="R87" s="143"/>
      <c r="S87" s="143"/>
      <c r="T87" s="143"/>
      <c r="U87" s="143"/>
      <c r="V87" s="143"/>
      <c r="W87" s="143"/>
    </row>
    <row r="88">
      <c r="A88" s="147">
        <v>46227</v>
      </c>
      <c r="B88" s="153"/>
      <c r="C88" s="154"/>
      <c r="D88" s="153"/>
      <c r="E88" s="154"/>
      <c r="F88" s="153"/>
      <c r="G88" s="154"/>
      <c r="H88" s="153"/>
      <c r="I88" s="154"/>
      <c r="J88" s="153"/>
      <c r="K88" s="154"/>
      <c r="L88" s="153"/>
      <c r="M88" s="153"/>
      <c r="N88" s="142"/>
      <c r="O88" s="143"/>
      <c r="P88" s="143"/>
      <c r="Q88" s="143"/>
      <c r="R88" s="143"/>
      <c r="S88" s="143"/>
      <c r="T88" s="143"/>
      <c r="U88" s="143"/>
      <c r="V88" s="143"/>
      <c r="W88" s="143"/>
    </row>
    <row r="89">
      <c r="A89" s="147">
        <v>46228</v>
      </c>
      <c r="B89" s="153"/>
      <c r="C89" s="154"/>
      <c r="D89" s="153"/>
      <c r="E89" s="154"/>
      <c r="F89" s="153"/>
      <c r="G89" s="154"/>
      <c r="H89" s="153"/>
      <c r="I89" s="154"/>
      <c r="J89" s="153"/>
      <c r="K89" s="154"/>
      <c r="L89" s="153"/>
      <c r="M89" s="153"/>
      <c r="N89" s="142"/>
      <c r="O89" s="143"/>
      <c r="P89" s="143"/>
      <c r="Q89" s="143"/>
      <c r="R89" s="143"/>
      <c r="S89" s="143"/>
      <c r="T89" s="143"/>
      <c r="U89" s="143"/>
      <c r="V89" s="143"/>
      <c r="W89" s="143"/>
    </row>
    <row r="90">
      <c r="A90" s="147">
        <v>46229</v>
      </c>
      <c r="B90" s="153"/>
      <c r="C90" s="154"/>
      <c r="D90" s="153"/>
      <c r="E90" s="154"/>
      <c r="F90" s="153"/>
      <c r="G90" s="154"/>
      <c r="H90" s="153"/>
      <c r="I90" s="154"/>
      <c r="J90" s="153"/>
      <c r="K90" s="154"/>
      <c r="L90" s="153"/>
      <c r="M90" s="153"/>
      <c r="N90" s="142"/>
      <c r="O90" s="143"/>
      <c r="P90" s="143"/>
      <c r="Q90" s="143"/>
      <c r="R90" s="143"/>
      <c r="S90" s="143"/>
      <c r="T90" s="143"/>
      <c r="U90" s="143"/>
      <c r="V90" s="143"/>
      <c r="W90" s="143"/>
    </row>
    <row r="91">
      <c r="A91" s="147">
        <v>46230</v>
      </c>
      <c r="B91" s="153"/>
      <c r="C91" s="154"/>
      <c r="D91" s="153"/>
      <c r="E91" s="154"/>
      <c r="F91" s="153"/>
      <c r="G91" s="154"/>
      <c r="H91" s="153"/>
      <c r="I91" s="154"/>
      <c r="J91" s="153"/>
      <c r="K91" s="154"/>
      <c r="L91" s="153"/>
      <c r="M91" s="153"/>
      <c r="N91" s="142"/>
      <c r="O91" s="143"/>
      <c r="P91" s="143"/>
      <c r="Q91" s="143"/>
      <c r="R91" s="143"/>
      <c r="S91" s="143"/>
      <c r="T91" s="143"/>
      <c r="U91" s="143"/>
      <c r="V91" s="143"/>
      <c r="W91" s="143"/>
    </row>
    <row r="92">
      <c r="A92" s="159"/>
      <c r="B92" s="153"/>
      <c r="C92" s="154"/>
      <c r="D92" s="153"/>
      <c r="E92" s="154"/>
      <c r="F92" s="153"/>
      <c r="G92" s="154"/>
      <c r="H92" s="153"/>
      <c r="I92" s="154"/>
      <c r="J92" s="153"/>
      <c r="K92" s="154"/>
      <c r="L92" s="153"/>
      <c r="M92" s="153"/>
      <c r="N92" s="142"/>
      <c r="O92" s="143"/>
      <c r="P92" s="143"/>
      <c r="Q92" s="143"/>
      <c r="R92" s="143"/>
      <c r="S92" s="143"/>
      <c r="T92" s="143"/>
      <c r="U92" s="143"/>
      <c r="V92" s="143"/>
      <c r="W92" s="143"/>
    </row>
    <row r="93">
      <c r="A93" s="159"/>
      <c r="B93" s="153"/>
      <c r="C93" s="154"/>
      <c r="D93" s="153"/>
      <c r="E93" s="154"/>
      <c r="F93" s="153"/>
      <c r="G93" s="154"/>
      <c r="H93" s="153"/>
      <c r="I93" s="154"/>
      <c r="J93" s="153"/>
      <c r="K93" s="154"/>
      <c r="L93" s="153"/>
      <c r="M93" s="153"/>
      <c r="N93" s="142"/>
      <c r="O93" s="143"/>
      <c r="P93" s="143"/>
      <c r="Q93" s="143"/>
      <c r="R93" s="143"/>
      <c r="S93" s="143"/>
      <c r="T93" s="143"/>
      <c r="U93" s="143"/>
      <c r="V93" s="143"/>
      <c r="W93" s="143"/>
    </row>
    <row r="94">
      <c r="A94" s="159"/>
      <c r="B94" s="153"/>
      <c r="C94" s="154"/>
      <c r="D94" s="153"/>
      <c r="E94" s="154"/>
      <c r="F94" s="153"/>
      <c r="G94" s="154"/>
      <c r="H94" s="153"/>
      <c r="I94" s="154"/>
      <c r="J94" s="153"/>
      <c r="K94" s="154"/>
      <c r="L94" s="153"/>
      <c r="M94" s="153"/>
      <c r="N94" s="142"/>
      <c r="O94" s="143"/>
      <c r="P94" s="143"/>
      <c r="Q94" s="143"/>
      <c r="R94" s="143"/>
      <c r="S94" s="143"/>
      <c r="T94" s="143"/>
      <c r="U94" s="143"/>
      <c r="V94" s="143"/>
      <c r="W94" s="143"/>
    </row>
    <row r="95">
      <c r="A95" s="159"/>
      <c r="B95" s="153"/>
      <c r="C95" s="154"/>
      <c r="D95" s="153"/>
      <c r="E95" s="154"/>
      <c r="F95" s="153"/>
      <c r="G95" s="154"/>
      <c r="H95" s="153"/>
      <c r="I95" s="154"/>
      <c r="J95" s="153"/>
      <c r="K95" s="154"/>
      <c r="L95" s="153"/>
      <c r="M95" s="153"/>
      <c r="N95" s="142"/>
      <c r="O95" s="143"/>
      <c r="P95" s="143"/>
      <c r="Q95" s="143"/>
      <c r="R95" s="143"/>
      <c r="S95" s="143"/>
      <c r="T95" s="143"/>
      <c r="U95" s="143"/>
      <c r="V95" s="143"/>
      <c r="W95" s="143"/>
    </row>
    <row r="96">
      <c r="A96" s="159"/>
      <c r="B96" s="153"/>
      <c r="C96" s="154"/>
      <c r="D96" s="153"/>
      <c r="E96" s="154"/>
      <c r="F96" s="153"/>
      <c r="G96" s="154"/>
      <c r="H96" s="153"/>
      <c r="I96" s="154"/>
      <c r="J96" s="153"/>
      <c r="K96" s="154"/>
      <c r="L96" s="153"/>
      <c r="M96" s="153"/>
      <c r="N96" s="142"/>
      <c r="O96" s="143"/>
      <c r="P96" s="143"/>
      <c r="Q96" s="143"/>
      <c r="R96" s="143"/>
      <c r="S96" s="143"/>
      <c r="T96" s="143"/>
      <c r="U96" s="143"/>
      <c r="V96" s="143"/>
      <c r="W96" s="143"/>
    </row>
    <row r="97">
      <c r="A97" s="159"/>
      <c r="B97" s="153"/>
      <c r="C97" s="154"/>
      <c r="D97" s="153"/>
      <c r="E97" s="154"/>
      <c r="F97" s="153"/>
      <c r="G97" s="154"/>
      <c r="H97" s="153"/>
      <c r="I97" s="154"/>
      <c r="J97" s="153"/>
      <c r="K97" s="154"/>
      <c r="L97" s="153"/>
      <c r="M97" s="153"/>
      <c r="N97" s="142"/>
      <c r="O97" s="143"/>
      <c r="P97" s="143"/>
      <c r="Q97" s="143"/>
      <c r="R97" s="143"/>
      <c r="S97" s="143"/>
      <c r="T97" s="143"/>
      <c r="U97" s="143"/>
      <c r="V97" s="143"/>
      <c r="W97" s="143"/>
    </row>
    <row r="98">
      <c r="A98" s="159"/>
      <c r="B98" s="153"/>
      <c r="C98" s="154"/>
      <c r="D98" s="153"/>
      <c r="E98" s="154"/>
      <c r="F98" s="153"/>
      <c r="G98" s="154"/>
      <c r="H98" s="153"/>
      <c r="I98" s="154"/>
      <c r="J98" s="153"/>
      <c r="K98" s="154"/>
      <c r="L98" s="153"/>
      <c r="M98" s="153"/>
      <c r="N98" s="142"/>
      <c r="O98" s="143"/>
      <c r="P98" s="143"/>
      <c r="Q98" s="143"/>
      <c r="R98" s="143"/>
      <c r="S98" s="143"/>
      <c r="T98" s="143"/>
      <c r="U98" s="143"/>
      <c r="V98" s="143"/>
      <c r="W98" s="143"/>
    </row>
    <row r="99">
      <c r="A99" s="159"/>
      <c r="B99" s="153"/>
      <c r="C99" s="154"/>
      <c r="D99" s="153"/>
      <c r="E99" s="154"/>
      <c r="F99" s="153"/>
      <c r="G99" s="154"/>
      <c r="H99" s="153"/>
      <c r="I99" s="154"/>
      <c r="J99" s="153"/>
      <c r="K99" s="154"/>
      <c r="L99" s="153"/>
      <c r="M99" s="153"/>
      <c r="N99" s="142"/>
      <c r="O99" s="143"/>
      <c r="P99" s="143"/>
      <c r="Q99" s="143"/>
      <c r="R99" s="143"/>
      <c r="S99" s="143"/>
      <c r="T99" s="143"/>
      <c r="U99" s="143"/>
      <c r="V99" s="143"/>
      <c r="W99" s="143"/>
    </row>
    <row r="100">
      <c r="A100" s="159"/>
      <c r="B100" s="153"/>
      <c r="C100" s="154"/>
      <c r="D100" s="153"/>
      <c r="E100" s="154"/>
      <c r="F100" s="153"/>
      <c r="G100" s="154"/>
      <c r="H100" s="153"/>
      <c r="I100" s="154"/>
      <c r="J100" s="153"/>
      <c r="K100" s="154"/>
      <c r="L100" s="153"/>
      <c r="M100" s="153"/>
      <c r="N100" s="142"/>
      <c r="O100" s="143"/>
      <c r="P100" s="143"/>
      <c r="Q100" s="143"/>
      <c r="R100" s="143"/>
      <c r="S100" s="143"/>
      <c r="T100" s="143"/>
      <c r="U100" s="143"/>
      <c r="V100" s="143"/>
      <c r="W100" s="143"/>
    </row>
    <row r="101">
      <c r="A101" s="159"/>
      <c r="B101" s="153"/>
      <c r="C101" s="154"/>
      <c r="D101" s="153"/>
      <c r="E101" s="154"/>
      <c r="F101" s="153"/>
      <c r="G101" s="154"/>
      <c r="H101" s="153"/>
      <c r="I101" s="154"/>
      <c r="J101" s="153"/>
      <c r="K101" s="154"/>
      <c r="L101" s="153"/>
      <c r="M101" s="153"/>
      <c r="N101" s="142"/>
      <c r="O101" s="143"/>
      <c r="P101" s="143"/>
      <c r="Q101" s="143"/>
      <c r="R101" s="143"/>
      <c r="S101" s="143"/>
      <c r="T101" s="143"/>
      <c r="U101" s="143"/>
      <c r="V101" s="143"/>
      <c r="W101" s="143"/>
    </row>
    <row r="102">
      <c r="A102" s="159"/>
      <c r="B102" s="153"/>
      <c r="C102" s="154"/>
      <c r="D102" s="153"/>
      <c r="E102" s="154"/>
      <c r="F102" s="153"/>
      <c r="G102" s="154"/>
      <c r="H102" s="153"/>
      <c r="I102" s="154"/>
      <c r="J102" s="153"/>
      <c r="K102" s="154"/>
      <c r="L102" s="153"/>
      <c r="M102" s="153"/>
      <c r="N102" s="142"/>
      <c r="O102" s="143"/>
      <c r="P102" s="143"/>
      <c r="Q102" s="143"/>
      <c r="R102" s="143"/>
      <c r="S102" s="143"/>
      <c r="T102" s="143"/>
      <c r="U102" s="143"/>
      <c r="V102" s="143"/>
      <c r="W102" s="143"/>
    </row>
    <row r="103">
      <c r="A103" s="159"/>
      <c r="B103" s="153"/>
      <c r="C103" s="154"/>
      <c r="D103" s="153"/>
      <c r="E103" s="154"/>
      <c r="F103" s="153"/>
      <c r="G103" s="154"/>
      <c r="H103" s="153"/>
      <c r="I103" s="154"/>
      <c r="J103" s="153"/>
      <c r="K103" s="154"/>
      <c r="L103" s="153"/>
      <c r="M103" s="153"/>
      <c r="N103" s="142"/>
      <c r="O103" s="143"/>
      <c r="P103" s="143"/>
      <c r="Q103" s="143"/>
      <c r="R103" s="143"/>
      <c r="S103" s="143"/>
      <c r="T103" s="143"/>
      <c r="U103" s="143"/>
      <c r="V103" s="143"/>
      <c r="W103" s="143"/>
    </row>
    <row r="104">
      <c r="A104" s="159"/>
      <c r="B104" s="153"/>
      <c r="C104" s="154"/>
      <c r="D104" s="153"/>
      <c r="E104" s="154"/>
      <c r="F104" s="153"/>
      <c r="G104" s="154"/>
      <c r="H104" s="153"/>
      <c r="I104" s="154"/>
      <c r="J104" s="153"/>
      <c r="K104" s="154"/>
      <c r="L104" s="153"/>
      <c r="M104" s="153"/>
      <c r="N104" s="142"/>
      <c r="O104" s="143"/>
      <c r="P104" s="143"/>
      <c r="Q104" s="143"/>
      <c r="R104" s="143"/>
      <c r="S104" s="143"/>
      <c r="T104" s="143"/>
      <c r="U104" s="143"/>
      <c r="V104" s="143"/>
      <c r="W104" s="143"/>
    </row>
    <row r="105">
      <c r="A105" s="159"/>
      <c r="B105" s="153"/>
      <c r="C105" s="154"/>
      <c r="D105" s="153"/>
      <c r="E105" s="154"/>
      <c r="F105" s="153"/>
      <c r="G105" s="154"/>
      <c r="H105" s="153"/>
      <c r="I105" s="154"/>
      <c r="J105" s="153"/>
      <c r="K105" s="154"/>
      <c r="L105" s="153"/>
      <c r="M105" s="153"/>
      <c r="N105" s="142"/>
      <c r="O105" s="143"/>
      <c r="P105" s="143"/>
      <c r="Q105" s="143"/>
      <c r="R105" s="143"/>
      <c r="S105" s="143"/>
      <c r="T105" s="143"/>
      <c r="U105" s="143"/>
      <c r="V105" s="143"/>
      <c r="W105" s="143"/>
    </row>
    <row r="106">
      <c r="A106" s="159"/>
      <c r="B106" s="153"/>
      <c r="C106" s="154"/>
      <c r="D106" s="153"/>
      <c r="E106" s="154"/>
      <c r="F106" s="153"/>
      <c r="G106" s="154"/>
      <c r="H106" s="153"/>
      <c r="I106" s="154"/>
      <c r="J106" s="153"/>
      <c r="K106" s="154"/>
      <c r="L106" s="153"/>
      <c r="M106" s="153"/>
      <c r="N106" s="142"/>
      <c r="O106" s="143"/>
      <c r="P106" s="143"/>
      <c r="Q106" s="143"/>
      <c r="R106" s="143"/>
      <c r="S106" s="143"/>
      <c r="T106" s="143"/>
      <c r="U106" s="143"/>
      <c r="V106" s="143"/>
      <c r="W106" s="143"/>
    </row>
    <row r="107">
      <c r="A107" s="159"/>
      <c r="B107" s="153"/>
      <c r="C107" s="154"/>
      <c r="D107" s="153"/>
      <c r="E107" s="154"/>
      <c r="F107" s="153"/>
      <c r="G107" s="154"/>
      <c r="H107" s="153"/>
      <c r="I107" s="154"/>
      <c r="J107" s="153"/>
      <c r="K107" s="154"/>
      <c r="L107" s="153"/>
      <c r="M107" s="153"/>
      <c r="N107" s="142"/>
      <c r="O107" s="143"/>
      <c r="P107" s="143"/>
      <c r="Q107" s="143"/>
      <c r="R107" s="143"/>
      <c r="S107" s="143"/>
      <c r="T107" s="143"/>
      <c r="U107" s="143"/>
      <c r="V107" s="143"/>
      <c r="W107" s="143"/>
    </row>
    <row r="108">
      <c r="A108" s="159"/>
      <c r="B108" s="153"/>
      <c r="C108" s="154"/>
      <c r="D108" s="153"/>
      <c r="E108" s="154"/>
      <c r="F108" s="153"/>
      <c r="G108" s="154"/>
      <c r="H108" s="153"/>
      <c r="I108" s="154"/>
      <c r="J108" s="153"/>
      <c r="K108" s="154"/>
      <c r="L108" s="153"/>
      <c r="M108" s="153"/>
      <c r="N108" s="142"/>
      <c r="O108" s="143"/>
      <c r="P108" s="143"/>
      <c r="Q108" s="143"/>
      <c r="R108" s="143"/>
      <c r="S108" s="143"/>
      <c r="T108" s="143"/>
      <c r="U108" s="143"/>
      <c r="V108" s="143"/>
      <c r="W108" s="143"/>
    </row>
    <row r="109">
      <c r="A109" s="159"/>
      <c r="B109" s="153"/>
      <c r="C109" s="154"/>
      <c r="D109" s="153"/>
      <c r="E109" s="154"/>
      <c r="F109" s="153"/>
      <c r="G109" s="154"/>
      <c r="H109" s="153"/>
      <c r="I109" s="154"/>
      <c r="J109" s="153"/>
      <c r="K109" s="154"/>
      <c r="L109" s="153"/>
      <c r="M109" s="153"/>
      <c r="N109" s="142"/>
      <c r="O109" s="143"/>
      <c r="P109" s="143"/>
      <c r="Q109" s="143"/>
      <c r="R109" s="143"/>
      <c r="S109" s="143"/>
      <c r="T109" s="143"/>
      <c r="U109" s="143"/>
      <c r="V109" s="143"/>
      <c r="W109" s="143"/>
    </row>
    <row r="110">
      <c r="A110" s="159"/>
      <c r="B110" s="153"/>
      <c r="C110" s="154"/>
      <c r="D110" s="153"/>
      <c r="E110" s="154"/>
      <c r="F110" s="153"/>
      <c r="G110" s="154"/>
      <c r="H110" s="153"/>
      <c r="I110" s="154"/>
      <c r="J110" s="153"/>
      <c r="K110" s="154"/>
      <c r="L110" s="153"/>
      <c r="M110" s="153"/>
      <c r="N110" s="142"/>
      <c r="O110" s="143"/>
      <c r="P110" s="143"/>
      <c r="Q110" s="143"/>
      <c r="R110" s="143"/>
      <c r="S110" s="143"/>
      <c r="T110" s="143"/>
      <c r="U110" s="143"/>
      <c r="V110" s="143"/>
      <c r="W110" s="143"/>
    </row>
    <row r="111">
      <c r="A111" s="159"/>
      <c r="B111" s="153"/>
      <c r="C111" s="154"/>
      <c r="D111" s="153"/>
      <c r="E111" s="154"/>
      <c r="F111" s="153"/>
      <c r="G111" s="154"/>
      <c r="H111" s="153"/>
      <c r="I111" s="154"/>
      <c r="J111" s="153"/>
      <c r="K111" s="154"/>
      <c r="L111" s="153"/>
      <c r="M111" s="153"/>
      <c r="N111" s="142"/>
      <c r="O111" s="143"/>
      <c r="P111" s="143"/>
      <c r="Q111" s="143"/>
      <c r="R111" s="143"/>
      <c r="S111" s="143"/>
      <c r="T111" s="143"/>
      <c r="U111" s="143"/>
      <c r="V111" s="143"/>
      <c r="W111" s="143"/>
    </row>
    <row r="112">
      <c r="A112" s="159"/>
      <c r="B112" s="153"/>
      <c r="C112" s="154"/>
      <c r="D112" s="153"/>
      <c r="E112" s="154"/>
      <c r="F112" s="153"/>
      <c r="G112" s="154"/>
      <c r="H112" s="153"/>
      <c r="I112" s="154"/>
      <c r="J112" s="153"/>
      <c r="K112" s="154"/>
      <c r="L112" s="153"/>
      <c r="M112" s="153"/>
      <c r="N112" s="142"/>
      <c r="O112" s="143"/>
      <c r="P112" s="143"/>
      <c r="Q112" s="143"/>
      <c r="R112" s="143"/>
      <c r="S112" s="143"/>
      <c r="T112" s="143"/>
      <c r="U112" s="143"/>
      <c r="V112" s="143"/>
      <c r="W112" s="143"/>
    </row>
    <row r="113">
      <c r="A113" s="159"/>
      <c r="B113" s="153"/>
      <c r="C113" s="154"/>
      <c r="D113" s="153"/>
      <c r="E113" s="154"/>
      <c r="F113" s="153"/>
      <c r="G113" s="154"/>
      <c r="H113" s="153"/>
      <c r="I113" s="154"/>
      <c r="J113" s="153"/>
      <c r="K113" s="154"/>
      <c r="L113" s="153"/>
      <c r="M113" s="153"/>
      <c r="N113" s="142"/>
      <c r="O113" s="143"/>
      <c r="P113" s="143"/>
      <c r="Q113" s="143"/>
      <c r="R113" s="143"/>
      <c r="S113" s="143"/>
      <c r="T113" s="143"/>
      <c r="U113" s="143"/>
      <c r="V113" s="143"/>
      <c r="W113" s="143"/>
    </row>
    <row r="114">
      <c r="A114" s="159"/>
      <c r="B114" s="153"/>
      <c r="C114" s="154"/>
      <c r="D114" s="153"/>
      <c r="E114" s="154"/>
      <c r="F114" s="153"/>
      <c r="G114" s="154"/>
      <c r="H114" s="153"/>
      <c r="I114" s="154"/>
      <c r="J114" s="153"/>
      <c r="K114" s="154"/>
      <c r="L114" s="153"/>
      <c r="M114" s="153"/>
      <c r="N114" s="142"/>
      <c r="O114" s="143"/>
      <c r="P114" s="143"/>
      <c r="Q114" s="143"/>
      <c r="R114" s="143"/>
      <c r="S114" s="143"/>
      <c r="T114" s="143"/>
      <c r="U114" s="143"/>
      <c r="V114" s="143"/>
      <c r="W114" s="143"/>
    </row>
    <row r="115">
      <c r="A115" s="159"/>
      <c r="B115" s="153"/>
      <c r="C115" s="154"/>
      <c r="D115" s="153"/>
      <c r="E115" s="154"/>
      <c r="F115" s="153"/>
      <c r="G115" s="154"/>
      <c r="H115" s="153"/>
      <c r="I115" s="154"/>
      <c r="J115" s="153"/>
      <c r="K115" s="154"/>
      <c r="L115" s="153"/>
      <c r="M115" s="153"/>
      <c r="N115" s="142"/>
      <c r="O115" s="143"/>
      <c r="P115" s="143"/>
      <c r="Q115" s="143"/>
      <c r="R115" s="143"/>
      <c r="S115" s="143"/>
      <c r="T115" s="143"/>
      <c r="U115" s="143"/>
      <c r="V115" s="143"/>
      <c r="W115" s="143"/>
    </row>
    <row r="116">
      <c r="A116" s="159"/>
      <c r="B116" s="153"/>
      <c r="C116" s="154"/>
      <c r="D116" s="153"/>
      <c r="E116" s="154"/>
      <c r="F116" s="153"/>
      <c r="G116" s="154"/>
      <c r="H116" s="153"/>
      <c r="I116" s="154"/>
      <c r="J116" s="153"/>
      <c r="K116" s="154"/>
      <c r="L116" s="153"/>
      <c r="M116" s="153"/>
      <c r="N116" s="142"/>
      <c r="O116" s="143"/>
      <c r="P116" s="143"/>
      <c r="Q116" s="143"/>
      <c r="R116" s="143"/>
      <c r="S116" s="143"/>
      <c r="T116" s="143"/>
      <c r="U116" s="143"/>
      <c r="V116" s="143"/>
      <c r="W116" s="143"/>
    </row>
    <row r="117">
      <c r="A117" s="159"/>
      <c r="B117" s="153"/>
      <c r="C117" s="154"/>
      <c r="D117" s="153"/>
      <c r="E117" s="154"/>
      <c r="F117" s="153"/>
      <c r="G117" s="154"/>
      <c r="H117" s="153"/>
      <c r="I117" s="154"/>
      <c r="J117" s="153"/>
      <c r="K117" s="154"/>
      <c r="L117" s="153"/>
      <c r="M117" s="153"/>
      <c r="N117" s="142"/>
      <c r="O117" s="143"/>
      <c r="P117" s="143"/>
      <c r="Q117" s="143"/>
      <c r="R117" s="143"/>
      <c r="S117" s="143"/>
      <c r="T117" s="143"/>
      <c r="U117" s="143"/>
      <c r="V117" s="143"/>
      <c r="W117" s="143"/>
    </row>
    <row r="118">
      <c r="A118" s="159"/>
      <c r="B118" s="153"/>
      <c r="C118" s="154"/>
      <c r="D118" s="153"/>
      <c r="E118" s="154"/>
      <c r="F118" s="153"/>
      <c r="G118" s="154"/>
      <c r="H118" s="153"/>
      <c r="I118" s="154"/>
      <c r="J118" s="153"/>
      <c r="K118" s="154"/>
      <c r="L118" s="153"/>
      <c r="M118" s="153"/>
      <c r="N118" s="142"/>
      <c r="O118" s="143"/>
      <c r="P118" s="143"/>
      <c r="Q118" s="143"/>
      <c r="R118" s="143"/>
      <c r="S118" s="143"/>
      <c r="T118" s="143"/>
      <c r="U118" s="143"/>
      <c r="V118" s="143"/>
      <c r="W118" s="143"/>
    </row>
    <row r="119">
      <c r="A119" s="159"/>
      <c r="B119" s="153"/>
      <c r="C119" s="154"/>
      <c r="D119" s="153"/>
      <c r="E119" s="154"/>
      <c r="F119" s="153"/>
      <c r="G119" s="154"/>
      <c r="H119" s="153"/>
      <c r="I119" s="154"/>
      <c r="J119" s="153"/>
      <c r="K119" s="154"/>
      <c r="L119" s="153"/>
      <c r="M119" s="153"/>
      <c r="N119" s="142"/>
      <c r="O119" s="143"/>
      <c r="P119" s="143"/>
      <c r="Q119" s="143"/>
      <c r="R119" s="143"/>
      <c r="S119" s="143"/>
      <c r="T119" s="143"/>
      <c r="U119" s="143"/>
      <c r="V119" s="143"/>
      <c r="W119" s="143"/>
    </row>
    <row r="120">
      <c r="A120" s="159"/>
      <c r="B120" s="153"/>
      <c r="C120" s="154"/>
      <c r="D120" s="153"/>
      <c r="E120" s="154"/>
      <c r="F120" s="153"/>
      <c r="G120" s="154"/>
      <c r="H120" s="153"/>
      <c r="I120" s="154"/>
      <c r="J120" s="153"/>
      <c r="K120" s="154"/>
      <c r="L120" s="153"/>
      <c r="M120" s="153"/>
      <c r="N120" s="142"/>
      <c r="O120" s="143"/>
      <c r="P120" s="143"/>
      <c r="Q120" s="143"/>
      <c r="R120" s="143"/>
      <c r="S120" s="143"/>
      <c r="T120" s="143"/>
      <c r="U120" s="143"/>
      <c r="V120" s="143"/>
      <c r="W120" s="143"/>
    </row>
    <row r="121">
      <c r="A121" s="159"/>
      <c r="B121" s="153"/>
      <c r="C121" s="154"/>
      <c r="D121" s="153"/>
      <c r="E121" s="154"/>
      <c r="F121" s="153"/>
      <c r="G121" s="154"/>
      <c r="H121" s="153"/>
      <c r="I121" s="154"/>
      <c r="J121" s="153"/>
      <c r="K121" s="154"/>
      <c r="L121" s="153"/>
      <c r="M121" s="153"/>
      <c r="N121" s="142"/>
      <c r="O121" s="143"/>
      <c r="P121" s="143"/>
      <c r="Q121" s="143"/>
      <c r="R121" s="143"/>
      <c r="S121" s="143"/>
      <c r="T121" s="143"/>
      <c r="U121" s="143"/>
      <c r="V121" s="143"/>
      <c r="W121" s="143"/>
    </row>
    <row r="122">
      <c r="A122" s="159"/>
      <c r="B122" s="153"/>
      <c r="C122" s="154"/>
      <c r="D122" s="153"/>
      <c r="E122" s="154"/>
      <c r="F122" s="153"/>
      <c r="G122" s="154"/>
      <c r="H122" s="153"/>
      <c r="I122" s="154"/>
      <c r="J122" s="153"/>
      <c r="K122" s="154"/>
      <c r="L122" s="153"/>
      <c r="M122" s="153"/>
      <c r="N122" s="142"/>
      <c r="O122" s="143"/>
      <c r="P122" s="143"/>
      <c r="Q122" s="143"/>
      <c r="R122" s="143"/>
      <c r="S122" s="143"/>
      <c r="T122" s="143"/>
      <c r="U122" s="143"/>
      <c r="V122" s="143"/>
      <c r="W122" s="143"/>
    </row>
    <row r="123">
      <c r="A123" s="159"/>
      <c r="B123" s="153"/>
      <c r="C123" s="154"/>
      <c r="D123" s="153"/>
      <c r="E123" s="154"/>
      <c r="F123" s="153"/>
      <c r="G123" s="154"/>
      <c r="H123" s="153"/>
      <c r="I123" s="154"/>
      <c r="J123" s="153"/>
      <c r="K123" s="154"/>
      <c r="L123" s="153"/>
      <c r="M123" s="153"/>
      <c r="N123" s="142"/>
      <c r="O123" s="143"/>
      <c r="P123" s="143"/>
      <c r="Q123" s="143"/>
      <c r="R123" s="143"/>
      <c r="S123" s="143"/>
      <c r="T123" s="143"/>
      <c r="U123" s="143"/>
      <c r="V123" s="143"/>
      <c r="W123" s="143"/>
    </row>
    <row r="124">
      <c r="A124" s="159"/>
      <c r="B124" s="153"/>
      <c r="C124" s="154"/>
      <c r="D124" s="153"/>
      <c r="E124" s="154"/>
      <c r="F124" s="153"/>
      <c r="G124" s="154"/>
      <c r="H124" s="153"/>
      <c r="I124" s="154"/>
      <c r="J124" s="153"/>
      <c r="K124" s="154"/>
      <c r="L124" s="153"/>
      <c r="M124" s="153"/>
      <c r="N124" s="142"/>
      <c r="O124" s="143"/>
      <c r="P124" s="143"/>
      <c r="Q124" s="143"/>
      <c r="R124" s="143"/>
      <c r="S124" s="143"/>
      <c r="T124" s="143"/>
      <c r="U124" s="143"/>
      <c r="V124" s="143"/>
      <c r="W124" s="143"/>
    </row>
    <row r="125">
      <c r="A125" s="159"/>
      <c r="B125" s="153"/>
      <c r="C125" s="154"/>
      <c r="D125" s="153"/>
      <c r="E125" s="154"/>
      <c r="F125" s="153"/>
      <c r="G125" s="154"/>
      <c r="H125" s="153"/>
      <c r="I125" s="154"/>
      <c r="J125" s="153"/>
      <c r="K125" s="154"/>
      <c r="L125" s="153"/>
      <c r="M125" s="153"/>
      <c r="N125" s="142"/>
      <c r="O125" s="143"/>
      <c r="P125" s="143"/>
      <c r="Q125" s="143"/>
      <c r="R125" s="143"/>
      <c r="S125" s="143"/>
      <c r="T125" s="143"/>
      <c r="U125" s="143"/>
      <c r="V125" s="143"/>
      <c r="W125" s="143"/>
    </row>
    <row r="126">
      <c r="A126" s="159"/>
      <c r="B126" s="153"/>
      <c r="C126" s="154"/>
      <c r="D126" s="153"/>
      <c r="E126" s="154"/>
      <c r="F126" s="153"/>
      <c r="G126" s="154"/>
      <c r="H126" s="153"/>
      <c r="I126" s="154"/>
      <c r="J126" s="153"/>
      <c r="K126" s="154"/>
      <c r="L126" s="153"/>
      <c r="M126" s="153"/>
      <c r="N126" s="142"/>
      <c r="O126" s="143"/>
      <c r="P126" s="143"/>
      <c r="Q126" s="143"/>
      <c r="R126" s="143"/>
      <c r="S126" s="143"/>
      <c r="T126" s="143"/>
      <c r="U126" s="143"/>
      <c r="V126" s="143"/>
      <c r="W126" s="143"/>
    </row>
    <row r="127">
      <c r="A127" s="159"/>
      <c r="B127" s="153"/>
      <c r="C127" s="154"/>
      <c r="D127" s="153"/>
      <c r="E127" s="154"/>
      <c r="F127" s="153"/>
      <c r="G127" s="154"/>
      <c r="H127" s="153"/>
      <c r="I127" s="154"/>
      <c r="J127" s="153"/>
      <c r="K127" s="154"/>
      <c r="L127" s="153"/>
      <c r="M127" s="153"/>
      <c r="N127" s="142"/>
      <c r="O127" s="143"/>
      <c r="P127" s="143"/>
      <c r="Q127" s="143"/>
      <c r="R127" s="143"/>
      <c r="S127" s="143"/>
      <c r="T127" s="143"/>
      <c r="U127" s="143"/>
      <c r="V127" s="143"/>
      <c r="W127" s="143"/>
    </row>
    <row r="128">
      <c r="A128" s="159"/>
      <c r="B128" s="153"/>
      <c r="C128" s="154"/>
      <c r="D128" s="153"/>
      <c r="E128" s="154"/>
      <c r="F128" s="153"/>
      <c r="G128" s="154"/>
      <c r="H128" s="153"/>
      <c r="I128" s="154"/>
      <c r="J128" s="153"/>
      <c r="K128" s="154"/>
      <c r="L128" s="153"/>
      <c r="M128" s="153"/>
      <c r="N128" s="142"/>
      <c r="O128" s="143"/>
      <c r="P128" s="143"/>
      <c r="Q128" s="143"/>
      <c r="R128" s="143"/>
      <c r="S128" s="143"/>
      <c r="T128" s="143"/>
      <c r="U128" s="143"/>
      <c r="V128" s="143"/>
      <c r="W128" s="143"/>
    </row>
    <row r="129">
      <c r="A129" s="159"/>
      <c r="B129" s="153"/>
      <c r="C129" s="154"/>
      <c r="D129" s="153"/>
      <c r="E129" s="154"/>
      <c r="F129" s="153"/>
      <c r="G129" s="154"/>
      <c r="H129" s="153"/>
      <c r="I129" s="154"/>
      <c r="J129" s="153"/>
      <c r="K129" s="154"/>
      <c r="L129" s="153"/>
      <c r="M129" s="153"/>
      <c r="N129" s="142"/>
      <c r="O129" s="143"/>
      <c r="P129" s="143"/>
      <c r="Q129" s="143"/>
      <c r="R129" s="143"/>
      <c r="S129" s="143"/>
      <c r="T129" s="143"/>
      <c r="U129" s="143"/>
      <c r="V129" s="143"/>
      <c r="W129" s="143"/>
    </row>
    <row r="130">
      <c r="A130" s="159"/>
      <c r="B130" s="153"/>
      <c r="C130" s="154"/>
      <c r="D130" s="153"/>
      <c r="E130" s="154"/>
      <c r="F130" s="153"/>
      <c r="G130" s="154"/>
      <c r="H130" s="153"/>
      <c r="I130" s="154"/>
      <c r="J130" s="153"/>
      <c r="K130" s="154"/>
      <c r="L130" s="153"/>
      <c r="M130" s="153"/>
      <c r="N130" s="142"/>
      <c r="O130" s="143"/>
      <c r="P130" s="143"/>
      <c r="Q130" s="143"/>
      <c r="R130" s="143"/>
      <c r="S130" s="143"/>
      <c r="T130" s="143"/>
      <c r="U130" s="143"/>
      <c r="V130" s="143"/>
      <c r="W130" s="143"/>
    </row>
    <row r="131">
      <c r="A131" s="159"/>
      <c r="B131" s="153"/>
      <c r="C131" s="154"/>
      <c r="D131" s="153"/>
      <c r="E131" s="154"/>
      <c r="F131" s="153"/>
      <c r="G131" s="154"/>
      <c r="H131" s="153"/>
      <c r="I131" s="154"/>
      <c r="J131" s="153"/>
      <c r="K131" s="154"/>
      <c r="L131" s="153"/>
      <c r="M131" s="153"/>
      <c r="N131" s="142"/>
      <c r="O131" s="143"/>
      <c r="P131" s="143"/>
      <c r="Q131" s="143"/>
      <c r="R131" s="143"/>
      <c r="S131" s="143"/>
      <c r="T131" s="143"/>
      <c r="U131" s="143"/>
      <c r="V131" s="143"/>
      <c r="W131" s="143"/>
    </row>
    <row r="132">
      <c r="A132" s="159"/>
      <c r="B132" s="153"/>
      <c r="C132" s="154"/>
      <c r="D132" s="153"/>
      <c r="E132" s="154"/>
      <c r="F132" s="153"/>
      <c r="G132" s="154"/>
      <c r="H132" s="153"/>
      <c r="I132" s="154"/>
      <c r="J132" s="153"/>
      <c r="K132" s="154"/>
      <c r="L132" s="153"/>
      <c r="M132" s="153"/>
      <c r="N132" s="142"/>
      <c r="O132" s="143"/>
      <c r="P132" s="143"/>
      <c r="Q132" s="143"/>
      <c r="R132" s="143"/>
      <c r="S132" s="143"/>
      <c r="T132" s="143"/>
      <c r="U132" s="143"/>
      <c r="V132" s="143"/>
      <c r="W132" s="143"/>
    </row>
    <row r="133">
      <c r="A133" s="159"/>
      <c r="B133" s="153"/>
      <c r="C133" s="154"/>
      <c r="D133" s="153"/>
      <c r="E133" s="154"/>
      <c r="F133" s="153"/>
      <c r="G133" s="154"/>
      <c r="H133" s="153"/>
      <c r="I133" s="154"/>
      <c r="J133" s="153"/>
      <c r="K133" s="154"/>
      <c r="L133" s="153"/>
      <c r="M133" s="153"/>
      <c r="N133" s="142"/>
      <c r="O133" s="143"/>
      <c r="P133" s="143"/>
      <c r="Q133" s="143"/>
      <c r="R133" s="143"/>
      <c r="S133" s="143"/>
      <c r="T133" s="143"/>
      <c r="U133" s="143"/>
      <c r="V133" s="143"/>
      <c r="W133" s="143"/>
    </row>
    <row r="134">
      <c r="A134" s="159"/>
      <c r="B134" s="153"/>
      <c r="C134" s="154"/>
      <c r="D134" s="153"/>
      <c r="E134" s="154"/>
      <c r="F134" s="153"/>
      <c r="G134" s="154"/>
      <c r="H134" s="153"/>
      <c r="I134" s="154"/>
      <c r="J134" s="153"/>
      <c r="K134" s="154"/>
      <c r="L134" s="153"/>
      <c r="M134" s="153"/>
      <c r="N134" s="142"/>
      <c r="O134" s="143"/>
      <c r="P134" s="143"/>
      <c r="Q134" s="143"/>
      <c r="R134" s="143"/>
      <c r="S134" s="143"/>
      <c r="T134" s="143"/>
      <c r="U134" s="143"/>
      <c r="V134" s="143"/>
      <c r="W134" s="143"/>
    </row>
    <row r="135">
      <c r="A135" s="159"/>
      <c r="B135" s="153"/>
      <c r="C135" s="154"/>
      <c r="D135" s="153"/>
      <c r="E135" s="154"/>
      <c r="F135" s="153"/>
      <c r="G135" s="154"/>
      <c r="H135" s="153"/>
      <c r="I135" s="154"/>
      <c r="J135" s="153"/>
      <c r="K135" s="154"/>
      <c r="L135" s="153"/>
      <c r="M135" s="153"/>
      <c r="N135" s="142"/>
      <c r="O135" s="143"/>
      <c r="P135" s="143"/>
      <c r="Q135" s="143"/>
      <c r="R135" s="143"/>
      <c r="S135" s="143"/>
      <c r="T135" s="143"/>
      <c r="U135" s="143"/>
      <c r="V135" s="143"/>
      <c r="W135" s="143"/>
    </row>
    <row r="136">
      <c r="A136" s="159"/>
      <c r="B136" s="153"/>
      <c r="C136" s="154"/>
      <c r="D136" s="153"/>
      <c r="E136" s="154"/>
      <c r="F136" s="153"/>
      <c r="G136" s="154"/>
      <c r="H136" s="153"/>
      <c r="I136" s="154"/>
      <c r="J136" s="153"/>
      <c r="K136" s="154"/>
      <c r="L136" s="153"/>
      <c r="M136" s="153"/>
      <c r="N136" s="142"/>
      <c r="O136" s="143"/>
      <c r="P136" s="143"/>
      <c r="Q136" s="143"/>
      <c r="R136" s="143"/>
      <c r="S136" s="143"/>
      <c r="T136" s="143"/>
      <c r="U136" s="143"/>
      <c r="V136" s="143"/>
      <c r="W136" s="143"/>
    </row>
    <row r="137">
      <c r="A137" s="159"/>
      <c r="B137" s="153"/>
      <c r="C137" s="154"/>
      <c r="D137" s="153"/>
      <c r="E137" s="154"/>
      <c r="F137" s="153"/>
      <c r="G137" s="154"/>
      <c r="H137" s="153"/>
      <c r="I137" s="154"/>
      <c r="J137" s="153"/>
      <c r="K137" s="154"/>
      <c r="L137" s="153"/>
      <c r="M137" s="153"/>
      <c r="N137" s="142"/>
      <c r="O137" s="143"/>
      <c r="P137" s="143"/>
      <c r="Q137" s="143"/>
      <c r="R137" s="143"/>
      <c r="S137" s="143"/>
      <c r="T137" s="143"/>
      <c r="U137" s="143"/>
      <c r="V137" s="143"/>
      <c r="W137" s="143"/>
    </row>
    <row r="138">
      <c r="A138" s="159"/>
      <c r="B138" s="153"/>
      <c r="C138" s="154"/>
      <c r="D138" s="153"/>
      <c r="E138" s="154"/>
      <c r="F138" s="153"/>
      <c r="G138" s="154"/>
      <c r="H138" s="153"/>
      <c r="I138" s="154"/>
      <c r="J138" s="153"/>
      <c r="K138" s="154"/>
      <c r="L138" s="153"/>
      <c r="M138" s="153"/>
      <c r="N138" s="142"/>
      <c r="O138" s="143"/>
      <c r="P138" s="143"/>
      <c r="Q138" s="143"/>
      <c r="R138" s="143"/>
      <c r="S138" s="143"/>
      <c r="T138" s="143"/>
      <c r="U138" s="143"/>
      <c r="V138" s="143"/>
      <c r="W138" s="143"/>
    </row>
    <row r="139">
      <c r="A139" s="159"/>
      <c r="B139" s="153"/>
      <c r="C139" s="154"/>
      <c r="D139" s="153"/>
      <c r="E139" s="154"/>
      <c r="F139" s="153"/>
      <c r="G139" s="154"/>
      <c r="H139" s="153"/>
      <c r="I139" s="154"/>
      <c r="J139" s="153"/>
      <c r="K139" s="154"/>
      <c r="L139" s="153"/>
      <c r="M139" s="153"/>
      <c r="N139" s="142"/>
      <c r="O139" s="143"/>
      <c r="P139" s="143"/>
      <c r="Q139" s="143"/>
      <c r="R139" s="143"/>
      <c r="S139" s="143"/>
      <c r="T139" s="143"/>
      <c r="U139" s="143"/>
      <c r="V139" s="143"/>
      <c r="W139" s="143"/>
    </row>
    <row r="140">
      <c r="A140" s="159"/>
      <c r="B140" s="153"/>
      <c r="C140" s="154"/>
      <c r="D140" s="153"/>
      <c r="E140" s="154"/>
      <c r="F140" s="153"/>
      <c r="G140" s="154"/>
      <c r="H140" s="153"/>
      <c r="I140" s="154"/>
      <c r="J140" s="153"/>
      <c r="K140" s="154"/>
      <c r="L140" s="153"/>
      <c r="M140" s="153"/>
      <c r="N140" s="142"/>
      <c r="O140" s="143"/>
      <c r="P140" s="143"/>
      <c r="Q140" s="143"/>
      <c r="R140" s="143"/>
      <c r="S140" s="143"/>
      <c r="T140" s="143"/>
      <c r="U140" s="143"/>
      <c r="V140" s="143"/>
      <c r="W140" s="143"/>
    </row>
    <row r="141">
      <c r="A141" s="159"/>
      <c r="B141" s="153"/>
      <c r="C141" s="154"/>
      <c r="D141" s="153"/>
      <c r="E141" s="154"/>
      <c r="F141" s="153"/>
      <c r="G141" s="154"/>
      <c r="H141" s="153"/>
      <c r="I141" s="154"/>
      <c r="J141" s="153"/>
      <c r="K141" s="154"/>
      <c r="L141" s="153"/>
      <c r="M141" s="153"/>
      <c r="N141" s="142"/>
      <c r="O141" s="143"/>
      <c r="P141" s="143"/>
      <c r="Q141" s="143"/>
      <c r="R141" s="143"/>
      <c r="S141" s="143"/>
      <c r="T141" s="143"/>
      <c r="U141" s="143"/>
      <c r="V141" s="143"/>
      <c r="W141" s="143"/>
    </row>
    <row r="142">
      <c r="A142" s="159"/>
      <c r="B142" s="153"/>
      <c r="C142" s="154"/>
      <c r="D142" s="153"/>
      <c r="E142" s="154"/>
      <c r="F142" s="153"/>
      <c r="G142" s="154"/>
      <c r="H142" s="153"/>
      <c r="I142" s="154"/>
      <c r="J142" s="153"/>
      <c r="K142" s="154"/>
      <c r="L142" s="153"/>
      <c r="M142" s="153"/>
      <c r="N142" s="142"/>
      <c r="O142" s="143"/>
      <c r="P142" s="143"/>
      <c r="Q142" s="143"/>
      <c r="R142" s="143"/>
      <c r="S142" s="143"/>
      <c r="T142" s="143"/>
      <c r="U142" s="143"/>
      <c r="V142" s="143"/>
      <c r="W142" s="143"/>
    </row>
    <row r="143">
      <c r="A143" s="159"/>
      <c r="B143" s="153"/>
      <c r="C143" s="154"/>
      <c r="D143" s="153"/>
      <c r="E143" s="154"/>
      <c r="F143" s="153"/>
      <c r="G143" s="154"/>
      <c r="H143" s="153"/>
      <c r="I143" s="154"/>
      <c r="J143" s="153"/>
      <c r="K143" s="154"/>
      <c r="L143" s="153"/>
      <c r="M143" s="153"/>
      <c r="N143" s="142"/>
      <c r="O143" s="143"/>
      <c r="P143" s="143"/>
      <c r="Q143" s="143"/>
      <c r="R143" s="143"/>
      <c r="S143" s="143"/>
      <c r="T143" s="143"/>
      <c r="U143" s="143"/>
      <c r="V143" s="143"/>
      <c r="W143" s="143"/>
    </row>
    <row r="144">
      <c r="A144" s="159"/>
      <c r="B144" s="153"/>
      <c r="C144" s="154"/>
      <c r="D144" s="153"/>
      <c r="E144" s="154"/>
      <c r="F144" s="153"/>
      <c r="G144" s="154"/>
      <c r="H144" s="153"/>
      <c r="I144" s="154"/>
      <c r="J144" s="153"/>
      <c r="K144" s="154"/>
      <c r="L144" s="153"/>
      <c r="M144" s="153"/>
      <c r="N144" s="142"/>
      <c r="O144" s="143"/>
      <c r="P144" s="143"/>
      <c r="Q144" s="143"/>
      <c r="R144" s="143"/>
      <c r="S144" s="143"/>
      <c r="T144" s="143"/>
      <c r="U144" s="143"/>
      <c r="V144" s="143"/>
      <c r="W144" s="143"/>
    </row>
    <row r="145">
      <c r="A145" s="159"/>
      <c r="B145" s="153"/>
      <c r="C145" s="154"/>
      <c r="D145" s="153"/>
      <c r="E145" s="154"/>
      <c r="F145" s="153"/>
      <c r="G145" s="154"/>
      <c r="H145" s="153"/>
      <c r="I145" s="154"/>
      <c r="J145" s="153"/>
      <c r="K145" s="154"/>
      <c r="L145" s="153"/>
      <c r="M145" s="153"/>
      <c r="N145" s="142"/>
      <c r="O145" s="143"/>
      <c r="P145" s="143"/>
      <c r="Q145" s="143"/>
      <c r="R145" s="143"/>
      <c r="S145" s="143"/>
      <c r="T145" s="143"/>
      <c r="U145" s="143"/>
      <c r="V145" s="143"/>
      <c r="W145" s="143"/>
    </row>
    <row r="146">
      <c r="A146" s="159"/>
      <c r="B146" s="153"/>
      <c r="C146" s="154"/>
      <c r="D146" s="153"/>
      <c r="E146" s="154"/>
      <c r="F146" s="153"/>
      <c r="G146" s="154"/>
      <c r="H146" s="153"/>
      <c r="I146" s="154"/>
      <c r="J146" s="153"/>
      <c r="K146" s="154"/>
      <c r="L146" s="153"/>
      <c r="M146" s="153"/>
      <c r="N146" s="142"/>
      <c r="O146" s="143"/>
      <c r="P146" s="143"/>
      <c r="Q146" s="143"/>
      <c r="R146" s="143"/>
      <c r="S146" s="143"/>
      <c r="T146" s="143"/>
      <c r="U146" s="143"/>
      <c r="V146" s="143"/>
      <c r="W146" s="143"/>
    </row>
    <row r="147">
      <c r="A147" s="159"/>
      <c r="B147" s="153"/>
      <c r="C147" s="154"/>
      <c r="D147" s="153"/>
      <c r="E147" s="154"/>
      <c r="F147" s="153"/>
      <c r="G147" s="154"/>
      <c r="H147" s="153"/>
      <c r="I147" s="154"/>
      <c r="J147" s="153"/>
      <c r="K147" s="154"/>
      <c r="L147" s="153"/>
      <c r="M147" s="153"/>
      <c r="N147" s="142"/>
      <c r="O147" s="143"/>
      <c r="P147" s="143"/>
      <c r="Q147" s="143"/>
      <c r="R147" s="143"/>
      <c r="S147" s="143"/>
      <c r="T147" s="143"/>
      <c r="U147" s="143"/>
      <c r="V147" s="143"/>
      <c r="W147" s="143"/>
    </row>
    <row r="148">
      <c r="A148" s="159"/>
      <c r="B148" s="153"/>
      <c r="C148" s="154"/>
      <c r="D148" s="153"/>
      <c r="E148" s="154"/>
      <c r="F148" s="153"/>
      <c r="G148" s="154"/>
      <c r="H148" s="153"/>
      <c r="I148" s="154"/>
      <c r="J148" s="153"/>
      <c r="K148" s="154"/>
      <c r="L148" s="153"/>
      <c r="M148" s="153"/>
      <c r="N148" s="142"/>
      <c r="O148" s="143"/>
      <c r="P148" s="143"/>
      <c r="Q148" s="143"/>
      <c r="R148" s="143"/>
      <c r="S148" s="143"/>
      <c r="T148" s="143"/>
      <c r="U148" s="143"/>
      <c r="V148" s="143"/>
      <c r="W148" s="143"/>
    </row>
    <row r="149">
      <c r="A149" s="159"/>
      <c r="B149" s="153"/>
      <c r="C149" s="154"/>
      <c r="D149" s="153"/>
      <c r="E149" s="154"/>
      <c r="F149" s="153"/>
      <c r="G149" s="154"/>
      <c r="H149" s="153"/>
      <c r="I149" s="154"/>
      <c r="J149" s="153"/>
      <c r="K149" s="154"/>
      <c r="L149" s="153"/>
      <c r="M149" s="153"/>
      <c r="N149" s="142"/>
      <c r="O149" s="143"/>
      <c r="P149" s="143"/>
      <c r="Q149" s="143"/>
      <c r="R149" s="143"/>
      <c r="S149" s="143"/>
      <c r="T149" s="143"/>
      <c r="U149" s="143"/>
      <c r="V149" s="143"/>
      <c r="W149" s="143"/>
    </row>
    <row r="150">
      <c r="A150" s="159"/>
      <c r="B150" s="153"/>
      <c r="C150" s="154"/>
      <c r="D150" s="153"/>
      <c r="E150" s="154"/>
      <c r="F150" s="153"/>
      <c r="G150" s="154"/>
      <c r="H150" s="153"/>
      <c r="I150" s="154"/>
      <c r="J150" s="153"/>
      <c r="K150" s="154"/>
      <c r="L150" s="153"/>
      <c r="M150" s="153"/>
      <c r="N150" s="142"/>
      <c r="O150" s="143"/>
      <c r="P150" s="143"/>
      <c r="Q150" s="143"/>
      <c r="R150" s="143"/>
      <c r="S150" s="143"/>
      <c r="T150" s="143"/>
      <c r="U150" s="143"/>
      <c r="V150" s="143"/>
      <c r="W150" s="143"/>
    </row>
    <row r="151">
      <c r="A151" s="159"/>
      <c r="B151" s="153"/>
      <c r="C151" s="154"/>
      <c r="D151" s="153"/>
      <c r="E151" s="154"/>
      <c r="F151" s="153"/>
      <c r="G151" s="154"/>
      <c r="H151" s="153"/>
      <c r="I151" s="154"/>
      <c r="J151" s="153"/>
      <c r="K151" s="154"/>
      <c r="L151" s="153"/>
      <c r="M151" s="153"/>
      <c r="N151" s="142"/>
      <c r="O151" s="143"/>
      <c r="P151" s="143"/>
      <c r="Q151" s="143"/>
      <c r="R151" s="143"/>
      <c r="S151" s="143"/>
      <c r="T151" s="143"/>
      <c r="U151" s="143"/>
      <c r="V151" s="143"/>
      <c r="W151" s="143"/>
    </row>
    <row r="152">
      <c r="A152" s="159"/>
      <c r="B152" s="153"/>
      <c r="C152" s="154"/>
      <c r="D152" s="153"/>
      <c r="E152" s="154"/>
      <c r="F152" s="153"/>
      <c r="G152" s="154"/>
      <c r="H152" s="153"/>
      <c r="I152" s="154"/>
      <c r="J152" s="153"/>
      <c r="K152" s="154"/>
      <c r="L152" s="153"/>
      <c r="M152" s="153"/>
      <c r="N152" s="142"/>
      <c r="O152" s="143"/>
      <c r="P152" s="143"/>
      <c r="Q152" s="143"/>
      <c r="R152" s="143"/>
      <c r="S152" s="143"/>
      <c r="T152" s="143"/>
      <c r="U152" s="143"/>
      <c r="V152" s="143"/>
      <c r="W152" s="143"/>
    </row>
    <row r="153">
      <c r="A153" s="159"/>
      <c r="B153" s="153"/>
      <c r="C153" s="154"/>
      <c r="D153" s="153"/>
      <c r="E153" s="154"/>
      <c r="F153" s="153"/>
      <c r="G153" s="154"/>
      <c r="H153" s="153"/>
      <c r="I153" s="154"/>
      <c r="J153" s="153"/>
      <c r="K153" s="154"/>
      <c r="L153" s="153"/>
      <c r="M153" s="153"/>
      <c r="N153" s="142"/>
      <c r="O153" s="143"/>
      <c r="P153" s="143"/>
      <c r="Q153" s="143"/>
      <c r="R153" s="143"/>
      <c r="S153" s="143"/>
      <c r="T153" s="143"/>
      <c r="U153" s="143"/>
      <c r="V153" s="143"/>
      <c r="W153" s="143"/>
    </row>
    <row r="154">
      <c r="A154" s="159"/>
      <c r="B154" s="153"/>
      <c r="C154" s="154"/>
      <c r="D154" s="153"/>
      <c r="E154" s="154"/>
      <c r="F154" s="153"/>
      <c r="G154" s="154"/>
      <c r="H154" s="153"/>
      <c r="I154" s="154"/>
      <c r="J154" s="153"/>
      <c r="K154" s="154"/>
      <c r="L154" s="153"/>
      <c r="M154" s="153"/>
      <c r="N154" s="142"/>
      <c r="O154" s="143"/>
      <c r="P154" s="143"/>
      <c r="Q154" s="143"/>
      <c r="R154" s="143"/>
      <c r="S154" s="143"/>
      <c r="T154" s="143"/>
      <c r="U154" s="143"/>
      <c r="V154" s="143"/>
      <c r="W154" s="143"/>
    </row>
    <row r="155">
      <c r="A155" s="159"/>
      <c r="B155" s="153"/>
      <c r="C155" s="154"/>
      <c r="D155" s="153"/>
      <c r="E155" s="154"/>
      <c r="F155" s="153"/>
      <c r="G155" s="154"/>
      <c r="H155" s="153"/>
      <c r="I155" s="154"/>
      <c r="J155" s="153"/>
      <c r="K155" s="154"/>
      <c r="L155" s="153"/>
      <c r="M155" s="153"/>
      <c r="N155" s="142"/>
      <c r="O155" s="143"/>
      <c r="P155" s="143"/>
      <c r="Q155" s="143"/>
      <c r="R155" s="143"/>
      <c r="S155" s="143"/>
      <c r="T155" s="143"/>
      <c r="U155" s="143"/>
      <c r="V155" s="143"/>
      <c r="W155" s="143"/>
    </row>
    <row r="156">
      <c r="A156" s="159"/>
      <c r="B156" s="153"/>
      <c r="C156" s="154"/>
      <c r="D156" s="153"/>
      <c r="E156" s="154"/>
      <c r="F156" s="153"/>
      <c r="G156" s="154"/>
      <c r="H156" s="153"/>
      <c r="I156" s="154"/>
      <c r="J156" s="153"/>
      <c r="K156" s="154"/>
      <c r="L156" s="153"/>
      <c r="M156" s="153"/>
      <c r="N156" s="142"/>
      <c r="O156" s="143"/>
      <c r="P156" s="143"/>
      <c r="Q156" s="143"/>
      <c r="R156" s="143"/>
      <c r="S156" s="143"/>
      <c r="T156" s="143"/>
      <c r="U156" s="143"/>
      <c r="V156" s="143"/>
      <c r="W156" s="143"/>
    </row>
    <row r="157">
      <c r="A157" s="159"/>
      <c r="B157" s="153"/>
      <c r="C157" s="154"/>
      <c r="D157" s="153"/>
      <c r="E157" s="154"/>
      <c r="F157" s="153"/>
      <c r="G157" s="154"/>
      <c r="H157" s="153"/>
      <c r="I157" s="154"/>
      <c r="J157" s="153"/>
      <c r="K157" s="154"/>
      <c r="L157" s="153"/>
      <c r="M157" s="153"/>
      <c r="N157" s="142"/>
      <c r="O157" s="143"/>
      <c r="P157" s="143"/>
      <c r="Q157" s="143"/>
      <c r="R157" s="143"/>
      <c r="S157" s="143"/>
      <c r="T157" s="143"/>
      <c r="U157" s="143"/>
      <c r="V157" s="143"/>
      <c r="W157" s="143"/>
    </row>
    <row r="158">
      <c r="A158" s="159"/>
      <c r="B158" s="153"/>
      <c r="C158" s="154"/>
      <c r="D158" s="153"/>
      <c r="E158" s="154"/>
      <c r="F158" s="153"/>
      <c r="G158" s="154"/>
      <c r="H158" s="153"/>
      <c r="I158" s="154"/>
      <c r="J158" s="153"/>
      <c r="K158" s="154"/>
      <c r="L158" s="153"/>
      <c r="M158" s="153"/>
      <c r="N158" s="142"/>
      <c r="O158" s="143"/>
      <c r="P158" s="143"/>
      <c r="Q158" s="143"/>
      <c r="R158" s="143"/>
      <c r="S158" s="143"/>
      <c r="T158" s="143"/>
      <c r="U158" s="143"/>
      <c r="V158" s="143"/>
      <c r="W158" s="143"/>
    </row>
    <row r="159">
      <c r="A159" s="159"/>
      <c r="B159" s="153"/>
      <c r="C159" s="154"/>
      <c r="D159" s="153"/>
      <c r="E159" s="154"/>
      <c r="F159" s="153"/>
      <c r="G159" s="154"/>
      <c r="H159" s="153"/>
      <c r="I159" s="154"/>
      <c r="J159" s="153"/>
      <c r="K159" s="154"/>
      <c r="L159" s="153"/>
      <c r="M159" s="153"/>
      <c r="N159" s="142"/>
      <c r="O159" s="143"/>
      <c r="P159" s="143"/>
      <c r="Q159" s="143"/>
      <c r="R159" s="143"/>
      <c r="S159" s="143"/>
      <c r="T159" s="143"/>
      <c r="U159" s="143"/>
      <c r="V159" s="143"/>
      <c r="W159" s="143"/>
    </row>
    <row r="160">
      <c r="A160" s="159"/>
      <c r="B160" s="153"/>
      <c r="C160" s="154"/>
      <c r="D160" s="153"/>
      <c r="E160" s="154"/>
      <c r="F160" s="153"/>
      <c r="G160" s="154"/>
      <c r="H160" s="153"/>
      <c r="I160" s="154"/>
      <c r="J160" s="153"/>
      <c r="K160" s="154"/>
      <c r="L160" s="153"/>
      <c r="M160" s="153"/>
      <c r="N160" s="142"/>
      <c r="O160" s="143"/>
      <c r="P160" s="143"/>
      <c r="Q160" s="143"/>
      <c r="R160" s="143"/>
      <c r="S160" s="143"/>
      <c r="T160" s="143"/>
      <c r="U160" s="143"/>
      <c r="V160" s="143"/>
      <c r="W160" s="143"/>
    </row>
    <row r="161">
      <c r="A161" s="159"/>
      <c r="B161" s="153"/>
      <c r="C161" s="154"/>
      <c r="D161" s="153"/>
      <c r="E161" s="154"/>
      <c r="F161" s="153"/>
      <c r="G161" s="154"/>
      <c r="H161" s="153"/>
      <c r="I161" s="154"/>
      <c r="J161" s="153"/>
      <c r="K161" s="154"/>
      <c r="L161" s="153"/>
      <c r="M161" s="153"/>
      <c r="N161" s="142"/>
      <c r="O161" s="143"/>
      <c r="P161" s="143"/>
      <c r="Q161" s="143"/>
      <c r="R161" s="143"/>
      <c r="S161" s="143"/>
      <c r="T161" s="143"/>
      <c r="U161" s="143"/>
      <c r="V161" s="143"/>
      <c r="W161" s="143"/>
    </row>
    <row r="162">
      <c r="A162" s="159"/>
      <c r="B162" s="153"/>
      <c r="C162" s="154"/>
      <c r="D162" s="153"/>
      <c r="E162" s="154"/>
      <c r="F162" s="153"/>
      <c r="G162" s="154"/>
      <c r="H162" s="153"/>
      <c r="I162" s="154"/>
      <c r="J162" s="153"/>
      <c r="K162" s="154"/>
      <c r="L162" s="153"/>
      <c r="M162" s="153"/>
      <c r="N162" s="142"/>
      <c r="O162" s="143"/>
      <c r="P162" s="143"/>
      <c r="Q162" s="143"/>
      <c r="R162" s="143"/>
      <c r="S162" s="143"/>
      <c r="T162" s="143"/>
      <c r="U162" s="143"/>
      <c r="V162" s="143"/>
      <c r="W162" s="143"/>
    </row>
    <row r="163">
      <c r="A163" s="159"/>
      <c r="B163" s="153"/>
      <c r="C163" s="154"/>
      <c r="D163" s="153"/>
      <c r="E163" s="154"/>
      <c r="F163" s="153"/>
      <c r="G163" s="154"/>
      <c r="H163" s="153"/>
      <c r="I163" s="154"/>
      <c r="J163" s="153"/>
      <c r="K163" s="154"/>
      <c r="L163" s="153"/>
      <c r="M163" s="153"/>
      <c r="N163" s="142"/>
      <c r="O163" s="143"/>
      <c r="P163" s="143"/>
      <c r="Q163" s="143"/>
      <c r="R163" s="143"/>
      <c r="S163" s="143"/>
      <c r="T163" s="143"/>
      <c r="U163" s="143"/>
      <c r="V163" s="143"/>
      <c r="W163" s="143"/>
    </row>
    <row r="164">
      <c r="A164" s="159"/>
      <c r="B164" s="153"/>
      <c r="C164" s="154"/>
      <c r="D164" s="153"/>
      <c r="E164" s="154"/>
      <c r="F164" s="153"/>
      <c r="G164" s="154"/>
      <c r="H164" s="153"/>
      <c r="I164" s="154"/>
      <c r="J164" s="153"/>
      <c r="K164" s="154"/>
      <c r="L164" s="153"/>
      <c r="M164" s="153"/>
      <c r="N164" s="142"/>
      <c r="O164" s="143"/>
      <c r="P164" s="143"/>
      <c r="Q164" s="143"/>
      <c r="R164" s="143"/>
      <c r="S164" s="143"/>
      <c r="T164" s="143"/>
      <c r="U164" s="143"/>
      <c r="V164" s="143"/>
      <c r="W164" s="143"/>
    </row>
    <row r="165">
      <c r="A165" s="159"/>
      <c r="B165" s="153"/>
      <c r="C165" s="154"/>
      <c r="D165" s="153"/>
      <c r="E165" s="154"/>
      <c r="F165" s="153"/>
      <c r="G165" s="154"/>
      <c r="H165" s="153"/>
      <c r="I165" s="154"/>
      <c r="J165" s="153"/>
      <c r="K165" s="154"/>
      <c r="L165" s="153"/>
      <c r="M165" s="153"/>
      <c r="N165" s="142"/>
      <c r="O165" s="143"/>
      <c r="P165" s="143"/>
      <c r="Q165" s="143"/>
      <c r="R165" s="143"/>
      <c r="S165" s="143"/>
      <c r="T165" s="143"/>
      <c r="U165" s="143"/>
      <c r="V165" s="143"/>
      <c r="W165" s="143"/>
    </row>
    <row r="166">
      <c r="A166" s="159"/>
      <c r="B166" s="153"/>
      <c r="C166" s="154"/>
      <c r="D166" s="153"/>
      <c r="E166" s="154"/>
      <c r="F166" s="153"/>
      <c r="G166" s="154"/>
      <c r="H166" s="153"/>
      <c r="I166" s="154"/>
      <c r="J166" s="153"/>
      <c r="K166" s="154"/>
      <c r="L166" s="153"/>
      <c r="M166" s="153"/>
      <c r="N166" s="142"/>
      <c r="O166" s="143"/>
      <c r="P166" s="143"/>
      <c r="Q166" s="143"/>
      <c r="R166" s="143"/>
      <c r="S166" s="143"/>
      <c r="T166" s="143"/>
      <c r="U166" s="143"/>
      <c r="V166" s="143"/>
      <c r="W166" s="143"/>
    </row>
    <row r="167">
      <c r="A167" s="159"/>
      <c r="B167" s="153"/>
      <c r="C167" s="154"/>
      <c r="D167" s="153"/>
      <c r="E167" s="154"/>
      <c r="F167" s="153"/>
      <c r="G167" s="154"/>
      <c r="H167" s="153"/>
      <c r="I167" s="154"/>
      <c r="J167" s="153"/>
      <c r="K167" s="154"/>
      <c r="L167" s="153"/>
      <c r="M167" s="153"/>
      <c r="N167" s="142"/>
      <c r="O167" s="143"/>
      <c r="P167" s="143"/>
      <c r="Q167" s="143"/>
      <c r="R167" s="143"/>
      <c r="S167" s="143"/>
      <c r="T167" s="143"/>
      <c r="U167" s="143"/>
      <c r="V167" s="143"/>
      <c r="W167" s="143"/>
    </row>
    <row r="168">
      <c r="A168" s="159"/>
      <c r="B168" s="153"/>
      <c r="C168" s="154"/>
      <c r="D168" s="153"/>
      <c r="E168" s="154"/>
      <c r="F168" s="153"/>
      <c r="G168" s="154"/>
      <c r="H168" s="153"/>
      <c r="I168" s="154"/>
      <c r="J168" s="153"/>
      <c r="K168" s="154"/>
      <c r="L168" s="153"/>
      <c r="M168" s="153"/>
      <c r="N168" s="142"/>
      <c r="O168" s="143"/>
      <c r="P168" s="143"/>
      <c r="Q168" s="143"/>
      <c r="R168" s="143"/>
      <c r="S168" s="143"/>
      <c r="T168" s="143"/>
      <c r="U168" s="143"/>
      <c r="V168" s="143"/>
      <c r="W168" s="143"/>
    </row>
    <row r="169">
      <c r="A169" s="159"/>
      <c r="B169" s="153"/>
      <c r="C169" s="154"/>
      <c r="D169" s="153"/>
      <c r="E169" s="154"/>
      <c r="F169" s="153"/>
      <c r="G169" s="154"/>
      <c r="H169" s="153"/>
      <c r="I169" s="154"/>
      <c r="J169" s="153"/>
      <c r="K169" s="154"/>
      <c r="L169" s="153"/>
      <c r="M169" s="153"/>
      <c r="N169" s="142"/>
      <c r="O169" s="143"/>
      <c r="P169" s="143"/>
      <c r="Q169" s="143"/>
      <c r="R169" s="143"/>
      <c r="S169" s="143"/>
      <c r="T169" s="143"/>
      <c r="U169" s="143"/>
      <c r="V169" s="143"/>
      <c r="W169" s="143"/>
    </row>
    <row r="170">
      <c r="A170" s="159"/>
      <c r="B170" s="153"/>
      <c r="C170" s="154"/>
      <c r="D170" s="153"/>
      <c r="E170" s="154"/>
      <c r="F170" s="153"/>
      <c r="G170" s="154"/>
      <c r="H170" s="153"/>
      <c r="I170" s="154"/>
      <c r="J170" s="153"/>
      <c r="K170" s="154"/>
      <c r="L170" s="153"/>
      <c r="M170" s="153"/>
      <c r="N170" s="142"/>
      <c r="O170" s="143"/>
      <c r="P170" s="143"/>
      <c r="Q170" s="143"/>
      <c r="R170" s="143"/>
      <c r="S170" s="143"/>
      <c r="T170" s="143"/>
      <c r="U170" s="143"/>
      <c r="V170" s="143"/>
      <c r="W170" s="143"/>
    </row>
    <row r="171">
      <c r="A171" s="159"/>
      <c r="B171" s="153"/>
      <c r="C171" s="154"/>
      <c r="D171" s="153"/>
      <c r="E171" s="154"/>
      <c r="F171" s="153"/>
      <c r="G171" s="154"/>
      <c r="H171" s="153"/>
      <c r="I171" s="154"/>
      <c r="J171" s="153"/>
      <c r="K171" s="154"/>
      <c r="L171" s="153"/>
      <c r="M171" s="153"/>
      <c r="N171" s="142"/>
      <c r="O171" s="143"/>
      <c r="P171" s="143"/>
      <c r="Q171" s="143"/>
      <c r="R171" s="143"/>
      <c r="S171" s="143"/>
      <c r="T171" s="143"/>
      <c r="U171" s="143"/>
      <c r="V171" s="143"/>
      <c r="W171" s="143"/>
    </row>
    <row r="172">
      <c r="A172" s="159"/>
      <c r="B172" s="153"/>
      <c r="C172" s="154"/>
      <c r="D172" s="153"/>
      <c r="E172" s="154"/>
      <c r="F172" s="153"/>
      <c r="G172" s="154"/>
      <c r="H172" s="153"/>
      <c r="I172" s="154"/>
      <c r="J172" s="153"/>
      <c r="K172" s="154"/>
      <c r="L172" s="153"/>
      <c r="M172" s="153"/>
      <c r="N172" s="142"/>
      <c r="O172" s="143"/>
      <c r="P172" s="143"/>
      <c r="Q172" s="143"/>
      <c r="R172" s="143"/>
      <c r="S172" s="143"/>
      <c r="T172" s="143"/>
      <c r="U172" s="143"/>
      <c r="V172" s="143"/>
      <c r="W172" s="143"/>
    </row>
    <row r="173">
      <c r="A173" s="159"/>
      <c r="B173" s="153"/>
      <c r="C173" s="154"/>
      <c r="D173" s="153"/>
      <c r="E173" s="154"/>
      <c r="F173" s="153"/>
      <c r="G173" s="154"/>
      <c r="H173" s="153"/>
      <c r="I173" s="154"/>
      <c r="J173" s="153"/>
      <c r="K173" s="154"/>
      <c r="L173" s="153"/>
      <c r="M173" s="153"/>
      <c r="N173" s="142"/>
      <c r="O173" s="143"/>
      <c r="P173" s="143"/>
      <c r="Q173" s="143"/>
      <c r="R173" s="143"/>
      <c r="S173" s="143"/>
      <c r="T173" s="143"/>
      <c r="U173" s="143"/>
      <c r="V173" s="143"/>
      <c r="W173" s="143"/>
    </row>
    <row r="174">
      <c r="A174" s="159"/>
      <c r="B174" s="153"/>
      <c r="C174" s="154"/>
      <c r="D174" s="153"/>
      <c r="E174" s="154"/>
      <c r="F174" s="153"/>
      <c r="G174" s="154"/>
      <c r="H174" s="153"/>
      <c r="I174" s="154"/>
      <c r="J174" s="153"/>
      <c r="K174" s="154"/>
      <c r="L174" s="153"/>
      <c r="M174" s="153"/>
      <c r="N174" s="142"/>
      <c r="O174" s="143"/>
      <c r="P174" s="143"/>
      <c r="Q174" s="143"/>
      <c r="R174" s="143"/>
      <c r="S174" s="143"/>
      <c r="T174" s="143"/>
      <c r="U174" s="143"/>
      <c r="V174" s="143"/>
      <c r="W174" s="143"/>
    </row>
    <row r="175">
      <c r="A175" s="159"/>
      <c r="B175" s="153"/>
      <c r="C175" s="154"/>
      <c r="D175" s="153"/>
      <c r="E175" s="154"/>
      <c r="F175" s="153"/>
      <c r="G175" s="154"/>
      <c r="H175" s="153"/>
      <c r="I175" s="154"/>
      <c r="J175" s="153"/>
      <c r="K175" s="154"/>
      <c r="L175" s="153"/>
      <c r="M175" s="153"/>
      <c r="N175" s="142"/>
      <c r="O175" s="143"/>
      <c r="P175" s="143"/>
      <c r="Q175" s="143"/>
      <c r="R175" s="143"/>
      <c r="S175" s="143"/>
      <c r="T175" s="143"/>
      <c r="U175" s="143"/>
      <c r="V175" s="143"/>
      <c r="W175" s="143"/>
    </row>
    <row r="176">
      <c r="A176" s="159"/>
      <c r="B176" s="153"/>
      <c r="C176" s="154"/>
      <c r="D176" s="153"/>
      <c r="E176" s="154"/>
      <c r="F176" s="153"/>
      <c r="G176" s="154"/>
      <c r="H176" s="153"/>
      <c r="I176" s="154"/>
      <c r="J176" s="153"/>
      <c r="K176" s="154"/>
      <c r="L176" s="153"/>
      <c r="M176" s="153"/>
      <c r="N176" s="142"/>
      <c r="O176" s="143"/>
      <c r="P176" s="143"/>
      <c r="Q176" s="143"/>
      <c r="R176" s="143"/>
      <c r="S176" s="143"/>
      <c r="T176" s="143"/>
      <c r="U176" s="143"/>
      <c r="V176" s="143"/>
      <c r="W176" s="143"/>
    </row>
    <row r="177">
      <c r="A177" s="159"/>
      <c r="B177" s="153"/>
      <c r="C177" s="154"/>
      <c r="D177" s="153"/>
      <c r="E177" s="154"/>
      <c r="F177" s="153"/>
      <c r="G177" s="154"/>
      <c r="H177" s="153"/>
      <c r="I177" s="154"/>
      <c r="J177" s="153"/>
      <c r="K177" s="154"/>
      <c r="L177" s="153"/>
      <c r="M177" s="153"/>
      <c r="N177" s="142"/>
      <c r="O177" s="143"/>
      <c r="P177" s="143"/>
      <c r="Q177" s="143"/>
      <c r="R177" s="143"/>
      <c r="S177" s="143"/>
      <c r="T177" s="143"/>
      <c r="U177" s="143"/>
      <c r="V177" s="143"/>
      <c r="W177" s="143"/>
    </row>
    <row r="178">
      <c r="A178" s="159"/>
      <c r="B178" s="153"/>
      <c r="C178" s="154"/>
      <c r="D178" s="153"/>
      <c r="E178" s="154"/>
      <c r="F178" s="153"/>
      <c r="G178" s="154"/>
      <c r="H178" s="153"/>
      <c r="I178" s="154"/>
      <c r="J178" s="153"/>
      <c r="K178" s="154"/>
      <c r="L178" s="153"/>
      <c r="M178" s="153"/>
      <c r="N178" s="142"/>
      <c r="O178" s="143"/>
      <c r="P178" s="143"/>
      <c r="Q178" s="143"/>
      <c r="R178" s="143"/>
      <c r="S178" s="143"/>
      <c r="T178" s="143"/>
      <c r="U178" s="143"/>
      <c r="V178" s="143"/>
      <c r="W178" s="143"/>
    </row>
    <row r="179">
      <c r="A179" s="159"/>
      <c r="B179" s="153"/>
      <c r="C179" s="154"/>
      <c r="D179" s="153"/>
      <c r="E179" s="154"/>
      <c r="F179" s="153"/>
      <c r="G179" s="154"/>
      <c r="H179" s="153"/>
      <c r="I179" s="154"/>
      <c r="J179" s="153"/>
      <c r="K179" s="154"/>
      <c r="L179" s="153"/>
      <c r="M179" s="153"/>
      <c r="N179" s="142"/>
      <c r="O179" s="143"/>
      <c r="P179" s="143"/>
      <c r="Q179" s="143"/>
      <c r="R179" s="143"/>
      <c r="S179" s="143"/>
      <c r="T179" s="143"/>
      <c r="U179" s="143"/>
      <c r="V179" s="143"/>
      <c r="W179" s="143"/>
    </row>
    <row r="180">
      <c r="A180" s="159"/>
      <c r="B180" s="153"/>
      <c r="C180" s="154"/>
      <c r="D180" s="153"/>
      <c r="E180" s="154"/>
      <c r="F180" s="153"/>
      <c r="G180" s="154"/>
      <c r="H180" s="153"/>
      <c r="I180" s="154"/>
      <c r="J180" s="153"/>
      <c r="K180" s="154"/>
      <c r="L180" s="153"/>
      <c r="M180" s="153"/>
      <c r="N180" s="142"/>
      <c r="O180" s="143"/>
      <c r="P180" s="143"/>
      <c r="Q180" s="143"/>
      <c r="R180" s="143"/>
      <c r="S180" s="143"/>
      <c r="T180" s="143"/>
      <c r="U180" s="143"/>
      <c r="V180" s="143"/>
      <c r="W180" s="143"/>
    </row>
    <row r="181">
      <c r="A181" s="159"/>
      <c r="B181" s="153"/>
      <c r="C181" s="154"/>
      <c r="D181" s="153"/>
      <c r="E181" s="154"/>
      <c r="F181" s="153"/>
      <c r="G181" s="154"/>
      <c r="H181" s="153"/>
      <c r="I181" s="154"/>
      <c r="J181" s="153"/>
      <c r="K181" s="154"/>
      <c r="L181" s="153"/>
      <c r="M181" s="153"/>
      <c r="N181" s="142"/>
      <c r="O181" s="143"/>
      <c r="P181" s="143"/>
      <c r="Q181" s="143"/>
      <c r="R181" s="143"/>
      <c r="S181" s="143"/>
      <c r="T181" s="143"/>
      <c r="U181" s="143"/>
      <c r="V181" s="143"/>
      <c r="W181" s="143"/>
    </row>
    <row r="182">
      <c r="A182" s="159"/>
      <c r="B182" s="153"/>
      <c r="C182" s="154"/>
      <c r="D182" s="153"/>
      <c r="E182" s="154"/>
      <c r="F182" s="153"/>
      <c r="G182" s="154"/>
      <c r="H182" s="153"/>
      <c r="I182" s="154"/>
      <c r="J182" s="153"/>
      <c r="K182" s="154"/>
      <c r="L182" s="153"/>
      <c r="M182" s="153"/>
      <c r="N182" s="142"/>
      <c r="O182" s="143"/>
      <c r="P182" s="143"/>
      <c r="Q182" s="143"/>
      <c r="R182" s="143"/>
      <c r="S182" s="143"/>
      <c r="T182" s="143"/>
      <c r="U182" s="143"/>
      <c r="V182" s="143"/>
      <c r="W182" s="143"/>
    </row>
    <row r="183">
      <c r="A183" s="159"/>
      <c r="B183" s="153"/>
      <c r="C183" s="154"/>
      <c r="D183" s="153"/>
      <c r="E183" s="154"/>
      <c r="F183" s="153"/>
      <c r="G183" s="154"/>
      <c r="H183" s="153"/>
      <c r="I183" s="154"/>
      <c r="J183" s="153"/>
      <c r="K183" s="154"/>
      <c r="L183" s="153"/>
      <c r="M183" s="153"/>
      <c r="N183" s="142"/>
      <c r="O183" s="143"/>
      <c r="P183" s="143"/>
      <c r="Q183" s="143"/>
      <c r="R183" s="143"/>
      <c r="S183" s="143"/>
      <c r="T183" s="143"/>
      <c r="U183" s="143"/>
      <c r="V183" s="143"/>
      <c r="W183" s="143"/>
    </row>
    <row r="184">
      <c r="A184" s="159"/>
      <c r="B184" s="153"/>
      <c r="C184" s="154"/>
      <c r="D184" s="153"/>
      <c r="E184" s="154"/>
      <c r="F184" s="153"/>
      <c r="G184" s="154"/>
      <c r="H184" s="153"/>
      <c r="I184" s="154"/>
      <c r="J184" s="153"/>
      <c r="K184" s="154"/>
      <c r="L184" s="153"/>
      <c r="M184" s="153"/>
      <c r="N184" s="142"/>
      <c r="O184" s="143"/>
      <c r="P184" s="143"/>
      <c r="Q184" s="143"/>
      <c r="R184" s="143"/>
      <c r="S184" s="143"/>
      <c r="T184" s="143"/>
      <c r="U184" s="143"/>
      <c r="V184" s="143"/>
      <c r="W184" s="143"/>
    </row>
    <row r="185">
      <c r="A185" s="159"/>
      <c r="B185" s="153"/>
      <c r="C185" s="154"/>
      <c r="D185" s="153"/>
      <c r="E185" s="154"/>
      <c r="F185" s="153"/>
      <c r="G185" s="154"/>
      <c r="H185" s="153"/>
      <c r="I185" s="154"/>
      <c r="J185" s="153"/>
      <c r="K185" s="154"/>
      <c r="L185" s="153"/>
      <c r="M185" s="153"/>
      <c r="N185" s="142"/>
      <c r="O185" s="143"/>
      <c r="P185" s="143"/>
      <c r="Q185" s="143"/>
      <c r="R185" s="143"/>
      <c r="S185" s="143"/>
      <c r="T185" s="143"/>
      <c r="U185" s="143"/>
      <c r="V185" s="143"/>
      <c r="W185" s="143"/>
    </row>
    <row r="186">
      <c r="A186" s="159"/>
      <c r="B186" s="153"/>
      <c r="C186" s="154"/>
      <c r="D186" s="153"/>
      <c r="E186" s="154"/>
      <c r="F186" s="153"/>
      <c r="G186" s="154"/>
      <c r="H186" s="153"/>
      <c r="I186" s="154"/>
      <c r="J186" s="153"/>
      <c r="K186" s="154"/>
      <c r="L186" s="153"/>
      <c r="M186" s="153"/>
      <c r="N186" s="142"/>
      <c r="O186" s="143"/>
      <c r="P186" s="143"/>
      <c r="Q186" s="143"/>
      <c r="R186" s="143"/>
      <c r="S186" s="143"/>
      <c r="T186" s="143"/>
      <c r="U186" s="143"/>
      <c r="V186" s="143"/>
      <c r="W186" s="143"/>
    </row>
    <row r="187">
      <c r="A187" s="159"/>
      <c r="B187" s="153"/>
      <c r="C187" s="154"/>
      <c r="D187" s="153"/>
      <c r="E187" s="154"/>
      <c r="F187" s="153"/>
      <c r="G187" s="154"/>
      <c r="H187" s="153"/>
      <c r="I187" s="154"/>
      <c r="J187" s="153"/>
      <c r="K187" s="154"/>
      <c r="L187" s="153"/>
      <c r="M187" s="153"/>
      <c r="N187" s="142"/>
      <c r="O187" s="143"/>
      <c r="P187" s="143"/>
      <c r="Q187" s="143"/>
      <c r="R187" s="143"/>
      <c r="S187" s="143"/>
      <c r="T187" s="143"/>
      <c r="U187" s="143"/>
      <c r="V187" s="143"/>
      <c r="W187" s="143"/>
    </row>
    <row r="188">
      <c r="A188" s="159"/>
      <c r="B188" s="153"/>
      <c r="C188" s="154"/>
      <c r="D188" s="153"/>
      <c r="E188" s="154"/>
      <c r="F188" s="153"/>
      <c r="G188" s="154"/>
      <c r="H188" s="153"/>
      <c r="I188" s="154"/>
      <c r="J188" s="153"/>
      <c r="K188" s="154"/>
      <c r="L188" s="153"/>
      <c r="M188" s="153"/>
      <c r="N188" s="142"/>
      <c r="O188" s="143"/>
      <c r="P188" s="143"/>
      <c r="Q188" s="143"/>
      <c r="R188" s="143"/>
      <c r="S188" s="143"/>
      <c r="T188" s="143"/>
      <c r="U188" s="143"/>
      <c r="V188" s="143"/>
      <c r="W188" s="143"/>
    </row>
    <row r="189">
      <c r="A189" s="159"/>
      <c r="B189" s="153"/>
      <c r="C189" s="154"/>
      <c r="D189" s="153"/>
      <c r="E189" s="154"/>
      <c r="F189" s="153"/>
      <c r="G189" s="154"/>
      <c r="H189" s="153"/>
      <c r="I189" s="154"/>
      <c r="J189" s="153"/>
      <c r="K189" s="154"/>
      <c r="L189" s="153"/>
      <c r="M189" s="153"/>
      <c r="N189" s="142"/>
      <c r="O189" s="143"/>
      <c r="P189" s="143"/>
      <c r="Q189" s="143"/>
      <c r="R189" s="143"/>
      <c r="S189" s="143"/>
      <c r="T189" s="143"/>
      <c r="U189" s="143"/>
      <c r="V189" s="143"/>
      <c r="W189" s="143"/>
    </row>
    <row r="190">
      <c r="A190" s="159"/>
      <c r="B190" s="153"/>
      <c r="C190" s="154"/>
      <c r="D190" s="153"/>
      <c r="E190" s="154"/>
      <c r="F190" s="153"/>
      <c r="G190" s="154"/>
      <c r="H190" s="153"/>
      <c r="I190" s="154"/>
      <c r="J190" s="153"/>
      <c r="K190" s="154"/>
      <c r="L190" s="153"/>
      <c r="M190" s="153"/>
      <c r="N190" s="142"/>
      <c r="O190" s="143"/>
      <c r="P190" s="143"/>
      <c r="Q190" s="143"/>
      <c r="R190" s="143"/>
      <c r="S190" s="143"/>
      <c r="T190" s="143"/>
      <c r="U190" s="143"/>
      <c r="V190" s="143"/>
      <c r="W190" s="143"/>
    </row>
    <row r="191">
      <c r="A191" s="159"/>
      <c r="B191" s="153"/>
      <c r="C191" s="154"/>
      <c r="D191" s="153"/>
      <c r="E191" s="154"/>
      <c r="F191" s="153"/>
      <c r="G191" s="154"/>
      <c r="H191" s="153"/>
      <c r="I191" s="154"/>
      <c r="J191" s="153"/>
      <c r="K191" s="154"/>
      <c r="L191" s="153"/>
      <c r="M191" s="153"/>
      <c r="N191" s="142"/>
      <c r="O191" s="143"/>
      <c r="P191" s="143"/>
      <c r="Q191" s="143"/>
      <c r="R191" s="143"/>
      <c r="S191" s="143"/>
      <c r="T191" s="143"/>
      <c r="U191" s="143"/>
      <c r="V191" s="143"/>
      <c r="W191" s="143"/>
    </row>
    <row r="192">
      <c r="A192" s="159"/>
      <c r="B192" s="153"/>
      <c r="C192" s="154"/>
      <c r="D192" s="153"/>
      <c r="E192" s="154"/>
      <c r="F192" s="153"/>
      <c r="G192" s="154"/>
      <c r="H192" s="153"/>
      <c r="I192" s="154"/>
      <c r="J192" s="153"/>
      <c r="K192" s="154"/>
      <c r="L192" s="153"/>
      <c r="M192" s="153"/>
      <c r="N192" s="142"/>
      <c r="O192" s="143"/>
      <c r="P192" s="143"/>
      <c r="Q192" s="143"/>
      <c r="R192" s="143"/>
      <c r="S192" s="143"/>
      <c r="T192" s="143"/>
      <c r="U192" s="143"/>
      <c r="V192" s="143"/>
      <c r="W192" s="143"/>
    </row>
    <row r="193">
      <c r="A193" s="159"/>
      <c r="B193" s="153"/>
      <c r="C193" s="154"/>
      <c r="D193" s="153"/>
      <c r="E193" s="154"/>
      <c r="F193" s="153"/>
      <c r="G193" s="154"/>
      <c r="H193" s="153"/>
      <c r="I193" s="154"/>
      <c r="J193" s="153"/>
      <c r="K193" s="154"/>
      <c r="L193" s="153"/>
      <c r="M193" s="153"/>
      <c r="N193" s="142"/>
      <c r="O193" s="143"/>
      <c r="P193" s="143"/>
      <c r="Q193" s="143"/>
      <c r="R193" s="143"/>
      <c r="S193" s="143"/>
      <c r="T193" s="143"/>
      <c r="U193" s="143"/>
      <c r="V193" s="143"/>
      <c r="W193" s="143"/>
    </row>
    <row r="194">
      <c r="A194" s="159"/>
      <c r="B194" s="153"/>
      <c r="C194" s="154"/>
      <c r="D194" s="153"/>
      <c r="E194" s="154"/>
      <c r="F194" s="153"/>
      <c r="G194" s="154"/>
      <c r="H194" s="153"/>
      <c r="I194" s="154"/>
      <c r="J194" s="153"/>
      <c r="K194" s="154"/>
      <c r="L194" s="153"/>
      <c r="M194" s="153"/>
      <c r="N194" s="142"/>
      <c r="O194" s="143"/>
      <c r="P194" s="143"/>
      <c r="Q194" s="143"/>
      <c r="R194" s="143"/>
      <c r="S194" s="143"/>
      <c r="T194" s="143"/>
      <c r="U194" s="143"/>
      <c r="V194" s="143"/>
      <c r="W194" s="143"/>
    </row>
    <row r="195">
      <c r="A195" s="159"/>
      <c r="B195" s="153"/>
      <c r="C195" s="154"/>
      <c r="D195" s="153"/>
      <c r="E195" s="154"/>
      <c r="F195" s="153"/>
      <c r="G195" s="154"/>
      <c r="H195" s="153"/>
      <c r="I195" s="154"/>
      <c r="J195" s="153"/>
      <c r="K195" s="154"/>
      <c r="L195" s="153"/>
      <c r="M195" s="153"/>
      <c r="N195" s="142"/>
      <c r="O195" s="143"/>
      <c r="P195" s="143"/>
      <c r="Q195" s="143"/>
      <c r="R195" s="143"/>
      <c r="S195" s="143"/>
      <c r="T195" s="143"/>
      <c r="U195" s="143"/>
      <c r="V195" s="143"/>
      <c r="W195" s="143"/>
    </row>
    <row r="196">
      <c r="A196" s="159"/>
      <c r="B196" s="153"/>
      <c r="C196" s="154"/>
      <c r="D196" s="153"/>
      <c r="E196" s="154"/>
      <c r="F196" s="153"/>
      <c r="G196" s="154"/>
      <c r="H196" s="153"/>
      <c r="I196" s="154"/>
      <c r="J196" s="153"/>
      <c r="K196" s="154"/>
      <c r="L196" s="153"/>
      <c r="M196" s="153"/>
      <c r="N196" s="142"/>
      <c r="O196" s="143"/>
      <c r="P196" s="143"/>
      <c r="Q196" s="143"/>
      <c r="R196" s="143"/>
      <c r="S196" s="143"/>
      <c r="T196" s="143"/>
      <c r="U196" s="143"/>
      <c r="V196" s="143"/>
      <c r="W196" s="143"/>
    </row>
    <row r="197">
      <c r="A197" s="159"/>
      <c r="B197" s="153"/>
      <c r="C197" s="154"/>
      <c r="D197" s="153"/>
      <c r="E197" s="154"/>
      <c r="F197" s="153"/>
      <c r="G197" s="154"/>
      <c r="H197" s="153"/>
      <c r="I197" s="154"/>
      <c r="J197" s="153"/>
      <c r="K197" s="154"/>
      <c r="L197" s="153"/>
      <c r="M197" s="153"/>
      <c r="N197" s="142"/>
      <c r="O197" s="143"/>
      <c r="P197" s="143"/>
      <c r="Q197" s="143"/>
      <c r="R197" s="143"/>
      <c r="S197" s="143"/>
      <c r="T197" s="143"/>
      <c r="U197" s="143"/>
      <c r="V197" s="143"/>
      <c r="W197" s="143"/>
    </row>
    <row r="198">
      <c r="A198" s="159"/>
      <c r="B198" s="153"/>
      <c r="C198" s="154"/>
      <c r="D198" s="153"/>
      <c r="E198" s="154"/>
      <c r="F198" s="153"/>
      <c r="G198" s="154"/>
      <c r="H198" s="153"/>
      <c r="I198" s="154"/>
      <c r="J198" s="153"/>
      <c r="K198" s="154"/>
      <c r="L198" s="153"/>
      <c r="M198" s="153"/>
      <c r="N198" s="142"/>
      <c r="O198" s="143"/>
      <c r="P198" s="143"/>
      <c r="Q198" s="143"/>
      <c r="R198" s="143"/>
      <c r="S198" s="143"/>
      <c r="T198" s="143"/>
      <c r="U198" s="143"/>
      <c r="V198" s="143"/>
      <c r="W198" s="143"/>
    </row>
    <row r="199">
      <c r="A199" s="159"/>
      <c r="B199" s="153"/>
      <c r="C199" s="154"/>
      <c r="D199" s="153"/>
      <c r="E199" s="154"/>
      <c r="F199" s="153"/>
      <c r="G199" s="154"/>
      <c r="H199" s="153"/>
      <c r="I199" s="154"/>
      <c r="J199" s="153"/>
      <c r="K199" s="154"/>
      <c r="L199" s="153"/>
      <c r="M199" s="153"/>
      <c r="N199" s="142"/>
      <c r="O199" s="143"/>
      <c r="P199" s="143"/>
      <c r="Q199" s="143"/>
      <c r="R199" s="143"/>
      <c r="S199" s="143"/>
      <c r="T199" s="143"/>
      <c r="U199" s="143"/>
      <c r="V199" s="143"/>
      <c r="W199" s="143"/>
    </row>
    <row r="200">
      <c r="A200" s="159"/>
      <c r="B200" s="153"/>
      <c r="C200" s="154"/>
      <c r="D200" s="153"/>
      <c r="E200" s="154"/>
      <c r="F200" s="153"/>
      <c r="G200" s="154"/>
      <c r="H200" s="153"/>
      <c r="I200" s="154"/>
      <c r="J200" s="153"/>
      <c r="K200" s="154"/>
      <c r="L200" s="153"/>
      <c r="M200" s="153"/>
      <c r="N200" s="142"/>
      <c r="O200" s="143"/>
      <c r="P200" s="143"/>
      <c r="Q200" s="143"/>
      <c r="R200" s="143"/>
      <c r="S200" s="143"/>
      <c r="T200" s="143"/>
      <c r="U200" s="143"/>
      <c r="V200" s="143"/>
      <c r="W200" s="143"/>
    </row>
  </sheetData>
  <mergeCells>
    <mergeCell ref="B1:L1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4"/>
    <col collapsed="false" customWidth="true" hidden="false" max="5" min="5" style="0" width="14"/>
    <col collapsed="false" customWidth="true" hidden="false" max="9" min="9" style="0" width="14"/>
    <col collapsed="false" customWidth="true" hidden="false" max="13" min="13" style="0" width="14"/>
    <col collapsed="false" customWidth="true" hidden="false" max="17" min="17" style="0" width="14"/>
    <col collapsed="false" customWidth="true" hidden="false" max="21" min="21" style="0" width="14"/>
    <col collapsed="false" customWidth="true" hidden="false" max="2" min="2" style="0" width="14"/>
    <col collapsed="false" customWidth="true" hidden="false" max="6" min="6" style="0" width="14"/>
    <col collapsed="false" customWidth="true" hidden="false" max="10" min="10" style="0" width="14"/>
    <col collapsed="false" customWidth="true" hidden="false" max="14" min="14" style="0" width="17"/>
    <col collapsed="false" customWidth="true" hidden="false" max="18" min="18" style="0" width="14"/>
    <col collapsed="false" customWidth="true" hidden="false" max="22" min="22" style="0" width="14"/>
    <col collapsed="false" customWidth="true" hidden="false" max="3" min="3" style="0" width="14"/>
    <col collapsed="false" customWidth="true" hidden="false" max="7" min="7" style="0" width="14"/>
    <col collapsed="false" customWidth="true" hidden="false" max="11" min="11" style="0" width="14"/>
    <col collapsed="false" customWidth="true" hidden="false" max="15" min="15" style="0" width="14"/>
    <col collapsed="false" customWidth="true" hidden="false" max="19" min="19" style="0" width="14"/>
    <col collapsed="false" customWidth="true" hidden="false" max="23" min="23" style="0" width="14"/>
    <col collapsed="false" customWidth="true" hidden="false" max="4" min="4" style="0" width="14"/>
    <col collapsed="false" customWidth="true" hidden="false" max="8" min="8" style="0" width="14"/>
    <col collapsed="false" customWidth="true" hidden="false" max="12" min="12" style="0" width="14"/>
    <col collapsed="false" customWidth="true" hidden="false" max="16" min="16" style="0" width="14"/>
    <col collapsed="false" customWidth="true" hidden="false" max="20" min="20" style="0" width="14"/>
  </cols>
  <sheetData>
    <row r="1">
      <c r="A1" s="160"/>
      <c r="B1" s="161" t="s">
        <v>116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2"/>
      <c r="O1" s="163"/>
      <c r="P1" s="163"/>
      <c r="Q1" s="163"/>
      <c r="R1" s="163"/>
      <c r="S1" s="163"/>
      <c r="T1" s="163"/>
      <c r="U1" s="163"/>
      <c r="V1" s="163"/>
      <c r="W1" s="163"/>
    </row>
    <row r="2">
      <c r="A2" s="160" t="s">
        <v>117</v>
      </c>
      <c r="B2" s="164" t="s">
        <v>118</v>
      </c>
      <c r="C2" s="165" t="s">
        <v>119</v>
      </c>
      <c r="D2" s="164" t="s">
        <v>120</v>
      </c>
      <c r="E2" s="165" t="s">
        <v>121</v>
      </c>
      <c r="F2" s="164" t="s">
        <v>122</v>
      </c>
      <c r="G2" s="166" t="s">
        <v>123</v>
      </c>
      <c r="H2" s="167" t="s">
        <v>124</v>
      </c>
      <c r="I2" s="166" t="s">
        <v>125</v>
      </c>
      <c r="J2" s="167" t="s">
        <v>126</v>
      </c>
      <c r="K2" s="166" t="s">
        <v>127</v>
      </c>
      <c r="L2" s="167" t="s">
        <v>128</v>
      </c>
      <c r="M2" s="166" t="s">
        <v>129</v>
      </c>
      <c r="N2" s="168" t="s">
        <v>130</v>
      </c>
      <c r="O2" s="163"/>
      <c r="P2" s="163"/>
      <c r="Q2" s="163"/>
      <c r="R2" s="163"/>
      <c r="S2" s="163"/>
      <c r="T2" s="163"/>
      <c r="U2" s="163"/>
      <c r="V2" s="163"/>
      <c r="W2" s="163"/>
    </row>
    <row r="3">
      <c r="A3" s="169">
        <v>46142</v>
      </c>
      <c r="B3" s="170">
        <v>535</v>
      </c>
      <c r="C3" s="171">
        <v>92</v>
      </c>
      <c r="D3" s="170">
        <v>13</v>
      </c>
      <c r="E3" s="172">
        <v>203</v>
      </c>
      <c r="F3" s="170">
        <v>617</v>
      </c>
      <c r="G3" s="172">
        <v>3248</v>
      </c>
      <c r="H3" s="170">
        <v>565</v>
      </c>
      <c r="I3" s="171">
        <v>1308</v>
      </c>
      <c r="J3" s="170">
        <v>1830</v>
      </c>
      <c r="K3" s="173"/>
      <c r="L3" s="170"/>
      <c r="M3" s="173" t="s">
        <v>131</v>
      </c>
      <c r="N3" s="174">
        <f t="shared" ref="N3:N56" si="0">SUM(B3:M3)</f>
      </c>
      <c r="O3" s="163"/>
      <c r="P3" s="163"/>
      <c r="Q3" s="163"/>
      <c r="R3" s="163"/>
      <c r="S3" s="163"/>
      <c r="T3" s="163"/>
      <c r="U3" s="163"/>
      <c r="V3" s="163"/>
      <c r="W3" s="163"/>
    </row>
    <row r="4">
      <c r="A4" s="169">
        <v>46143</v>
      </c>
      <c r="B4" s="175">
        <v>482</v>
      </c>
      <c r="C4" s="176">
        <v>104</v>
      </c>
      <c r="D4" s="175">
        <v>11</v>
      </c>
      <c r="E4" s="176">
        <v>167</v>
      </c>
      <c r="F4" s="175">
        <v>719</v>
      </c>
      <c r="G4" s="177">
        <v>3161</v>
      </c>
      <c r="H4" s="175">
        <v>625</v>
      </c>
      <c r="I4" s="177">
        <v>1333</v>
      </c>
      <c r="J4" s="178">
        <v>1661</v>
      </c>
      <c r="K4" s="179"/>
      <c r="L4" s="178">
        <v>161</v>
      </c>
      <c r="M4" s="173" t="s">
        <v>131</v>
      </c>
      <c r="N4" s="174">
        <f t="shared" si="0"/>
      </c>
      <c r="O4" s="163"/>
      <c r="P4" s="163"/>
      <c r="Q4" s="163"/>
      <c r="R4" s="163"/>
      <c r="S4" s="163"/>
      <c r="T4" s="163"/>
      <c r="U4" s="163"/>
      <c r="V4" s="163"/>
      <c r="W4" s="163"/>
    </row>
    <row r="5">
      <c r="A5" s="169">
        <v>46144</v>
      </c>
      <c r="B5" s="175">
        <v>285</v>
      </c>
      <c r="C5" s="176">
        <v>93</v>
      </c>
      <c r="D5" s="180">
        <v>15</v>
      </c>
      <c r="E5" s="176">
        <v>155</v>
      </c>
      <c r="F5" s="175">
        <v>578</v>
      </c>
      <c r="G5" s="177">
        <v>2453</v>
      </c>
      <c r="H5" s="175">
        <v>505</v>
      </c>
      <c r="I5" s="177">
        <v>1305</v>
      </c>
      <c r="J5" s="178">
        <v>2058</v>
      </c>
      <c r="K5" s="181"/>
      <c r="L5" s="175">
        <v>224</v>
      </c>
      <c r="M5" s="173" t="s">
        <v>131</v>
      </c>
      <c r="N5" s="174">
        <f t="shared" si="0"/>
      </c>
      <c r="O5" s="163"/>
      <c r="P5" s="163"/>
      <c r="Q5" s="163"/>
      <c r="R5" s="163"/>
      <c r="S5" s="163"/>
      <c r="T5" s="163"/>
      <c r="U5" s="163"/>
      <c r="V5" s="163"/>
      <c r="W5" s="163"/>
    </row>
    <row r="6">
      <c r="A6" s="169">
        <v>46145</v>
      </c>
      <c r="B6" s="175">
        <v>409</v>
      </c>
      <c r="C6" s="176">
        <v>58</v>
      </c>
      <c r="D6" s="180">
        <v>15</v>
      </c>
      <c r="E6" s="176">
        <v>107</v>
      </c>
      <c r="F6" s="175">
        <v>630</v>
      </c>
      <c r="G6" s="177">
        <v>2227</v>
      </c>
      <c r="H6" s="175">
        <v>444</v>
      </c>
      <c r="I6" s="177">
        <v>1133</v>
      </c>
      <c r="J6" s="178">
        <v>1750</v>
      </c>
      <c r="K6" s="176">
        <v>18</v>
      </c>
      <c r="L6" s="175">
        <v>189</v>
      </c>
      <c r="M6" s="173" t="s">
        <v>131</v>
      </c>
      <c r="N6" s="174">
        <f t="shared" si="0"/>
      </c>
      <c r="O6" s="163"/>
      <c r="P6" s="163"/>
      <c r="Q6" s="163"/>
      <c r="R6" s="163"/>
      <c r="S6" s="163"/>
      <c r="T6" s="163"/>
      <c r="U6" s="163"/>
      <c r="V6" s="163"/>
      <c r="W6" s="163"/>
    </row>
    <row r="7">
      <c r="A7" s="169">
        <v>46146</v>
      </c>
      <c r="B7" s="175">
        <v>316</v>
      </c>
      <c r="C7" s="176">
        <v>72</v>
      </c>
      <c r="D7" s="180">
        <v>9</v>
      </c>
      <c r="E7" s="176">
        <v>125</v>
      </c>
      <c r="F7" s="175">
        <v>606</v>
      </c>
      <c r="G7" s="177">
        <v>2456</v>
      </c>
      <c r="H7" s="175">
        <v>591</v>
      </c>
      <c r="I7" s="177">
        <v>1451</v>
      </c>
      <c r="J7" s="178">
        <v>1559</v>
      </c>
      <c r="K7" s="176">
        <v>63</v>
      </c>
      <c r="L7" s="175">
        <v>926</v>
      </c>
      <c r="M7" s="173" t="s">
        <v>131</v>
      </c>
      <c r="N7" s="174">
        <f t="shared" si="0"/>
      </c>
      <c r="O7" s="163"/>
      <c r="P7" s="163"/>
      <c r="Q7" s="163"/>
      <c r="R7" s="163"/>
      <c r="S7" s="163"/>
      <c r="T7" s="163"/>
      <c r="U7" s="163"/>
      <c r="V7" s="163"/>
      <c r="W7" s="163"/>
    </row>
    <row r="8">
      <c r="A8" s="169">
        <v>46147</v>
      </c>
      <c r="B8" s="175">
        <v>191</v>
      </c>
      <c r="C8" s="176">
        <v>95</v>
      </c>
      <c r="D8" s="180">
        <v>11</v>
      </c>
      <c r="E8" s="176">
        <v>140</v>
      </c>
      <c r="F8" s="175">
        <v>678</v>
      </c>
      <c r="G8" s="177">
        <v>2647</v>
      </c>
      <c r="H8" s="175">
        <v>515</v>
      </c>
      <c r="I8" s="177">
        <v>1546</v>
      </c>
      <c r="J8" s="178">
        <v>1479</v>
      </c>
      <c r="K8" s="176">
        <v>59</v>
      </c>
      <c r="L8" s="175">
        <v>949</v>
      </c>
      <c r="M8" s="173" t="s">
        <v>131</v>
      </c>
      <c r="N8" s="174">
        <f t="shared" si="0"/>
      </c>
      <c r="O8" s="163"/>
      <c r="P8" s="163"/>
      <c r="Q8" s="163"/>
      <c r="R8" s="163"/>
      <c r="S8" s="163"/>
      <c r="T8" s="163"/>
      <c r="U8" s="163"/>
      <c r="V8" s="163"/>
      <c r="W8" s="163"/>
    </row>
    <row r="9">
      <c r="A9" s="169">
        <v>46148</v>
      </c>
      <c r="B9" s="175">
        <v>238</v>
      </c>
      <c r="C9" s="176">
        <v>84</v>
      </c>
      <c r="D9" s="175">
        <v>14</v>
      </c>
      <c r="E9" s="176">
        <v>109</v>
      </c>
      <c r="F9" s="175">
        <v>576</v>
      </c>
      <c r="G9" s="177">
        <v>2441</v>
      </c>
      <c r="H9" s="175">
        <v>592</v>
      </c>
      <c r="I9" s="177">
        <v>1300</v>
      </c>
      <c r="J9" s="178">
        <v>1433</v>
      </c>
      <c r="K9" s="176">
        <v>171</v>
      </c>
      <c r="L9" s="175">
        <v>770</v>
      </c>
      <c r="M9" s="173" t="s">
        <v>131</v>
      </c>
      <c r="N9" s="174">
        <f t="shared" si="0"/>
      </c>
      <c r="O9" s="163"/>
      <c r="P9" s="163"/>
      <c r="Q9" s="163"/>
      <c r="R9" s="163"/>
      <c r="S9" s="163"/>
      <c r="T9" s="163"/>
      <c r="U9" s="163"/>
      <c r="V9" s="163"/>
      <c r="W9" s="163"/>
    </row>
    <row r="10">
      <c r="A10" s="169">
        <v>46149</v>
      </c>
      <c r="B10" s="175">
        <v>264</v>
      </c>
      <c r="C10" s="176">
        <v>120</v>
      </c>
      <c r="D10" s="175">
        <v>15</v>
      </c>
      <c r="E10" s="176">
        <v>145</v>
      </c>
      <c r="F10" s="175">
        <v>796</v>
      </c>
      <c r="G10" s="177">
        <v>2522</v>
      </c>
      <c r="H10" s="175">
        <v>748</v>
      </c>
      <c r="I10" s="177">
        <v>2107</v>
      </c>
      <c r="J10" s="178">
        <v>1458</v>
      </c>
      <c r="K10" s="176">
        <v>267</v>
      </c>
      <c r="L10" s="175">
        <v>888</v>
      </c>
      <c r="M10" s="173" t="s">
        <v>131</v>
      </c>
      <c r="N10" s="174">
        <f t="shared" si="0"/>
      </c>
      <c r="O10" s="163"/>
      <c r="P10" s="163"/>
      <c r="Q10" s="163"/>
      <c r="R10" s="163"/>
      <c r="S10" s="163"/>
      <c r="T10" s="163"/>
      <c r="U10" s="163"/>
      <c r="V10" s="163"/>
      <c r="W10" s="163"/>
    </row>
    <row r="11">
      <c r="A11" s="169">
        <v>46150</v>
      </c>
      <c r="B11" s="175">
        <v>249</v>
      </c>
      <c r="C11" s="176">
        <v>84</v>
      </c>
      <c r="D11" s="175">
        <v>20</v>
      </c>
      <c r="E11" s="176">
        <v>122</v>
      </c>
      <c r="F11" s="175">
        <v>704</v>
      </c>
      <c r="G11" s="177">
        <v>2430</v>
      </c>
      <c r="H11" s="175">
        <v>589</v>
      </c>
      <c r="I11" s="177">
        <v>1785</v>
      </c>
      <c r="J11" s="178">
        <v>1669</v>
      </c>
      <c r="K11" s="176">
        <v>411</v>
      </c>
      <c r="L11" s="175">
        <v>942</v>
      </c>
      <c r="M11" s="173" t="s">
        <v>131</v>
      </c>
      <c r="N11" s="174">
        <f t="shared" si="0"/>
      </c>
      <c r="O11" s="163"/>
      <c r="P11" s="163"/>
      <c r="Q11" s="163"/>
      <c r="R11" s="163"/>
      <c r="S11" s="163"/>
      <c r="T11" s="163"/>
      <c r="U11" s="163"/>
      <c r="V11" s="163"/>
      <c r="W11" s="163"/>
    </row>
    <row r="12">
      <c r="A12" s="169">
        <v>46151</v>
      </c>
      <c r="B12" s="175">
        <v>128</v>
      </c>
      <c r="C12" s="176">
        <v>96</v>
      </c>
      <c r="D12" s="180">
        <v>13</v>
      </c>
      <c r="E12" s="176">
        <v>80</v>
      </c>
      <c r="F12" s="175">
        <v>510</v>
      </c>
      <c r="G12" s="177">
        <v>2299</v>
      </c>
      <c r="H12" s="175">
        <v>456</v>
      </c>
      <c r="I12" s="177">
        <v>1733</v>
      </c>
      <c r="J12" s="178">
        <v>1822</v>
      </c>
      <c r="K12" s="176">
        <v>710</v>
      </c>
      <c r="L12" s="178">
        <v>1068</v>
      </c>
      <c r="M12" s="173" t="s">
        <v>131</v>
      </c>
      <c r="N12" s="174">
        <f t="shared" si="0"/>
      </c>
      <c r="O12" s="163"/>
      <c r="P12" s="163"/>
      <c r="Q12" s="163"/>
      <c r="R12" s="163"/>
      <c r="S12" s="163"/>
      <c r="T12" s="163"/>
      <c r="U12" s="163"/>
      <c r="V12" s="163"/>
      <c r="W12" s="163"/>
    </row>
    <row r="13">
      <c r="A13" s="169">
        <v>46152</v>
      </c>
      <c r="B13" s="175">
        <v>94</v>
      </c>
      <c r="C13" s="176">
        <v>54</v>
      </c>
      <c r="D13" s="180">
        <v>17</v>
      </c>
      <c r="E13" s="176">
        <v>80</v>
      </c>
      <c r="F13" s="175">
        <v>381</v>
      </c>
      <c r="G13" s="177">
        <v>1717</v>
      </c>
      <c r="H13" s="175">
        <v>344</v>
      </c>
      <c r="I13" s="176">
        <v>920</v>
      </c>
      <c r="J13" s="178">
        <v>1535</v>
      </c>
      <c r="K13" s="176">
        <v>605</v>
      </c>
      <c r="L13" s="175">
        <v>572</v>
      </c>
      <c r="M13" s="173" t="s">
        <v>131</v>
      </c>
      <c r="N13" s="174">
        <f t="shared" si="0"/>
      </c>
      <c r="O13" s="163"/>
      <c r="P13" s="163"/>
      <c r="Q13" s="163"/>
      <c r="R13" s="163"/>
      <c r="S13" s="163"/>
      <c r="T13" s="163"/>
      <c r="U13" s="163"/>
      <c r="V13" s="163"/>
      <c r="W13" s="163"/>
    </row>
    <row r="14">
      <c r="A14" s="169">
        <v>46153</v>
      </c>
      <c r="B14" s="175">
        <v>110</v>
      </c>
      <c r="C14" s="176">
        <v>66</v>
      </c>
      <c r="D14" s="180">
        <v>8</v>
      </c>
      <c r="E14" s="176">
        <v>88</v>
      </c>
      <c r="F14" s="175">
        <v>492</v>
      </c>
      <c r="G14" s="177">
        <v>2141</v>
      </c>
      <c r="H14" s="175">
        <v>493</v>
      </c>
      <c r="I14" s="176">
        <v>911</v>
      </c>
      <c r="J14" s="178">
        <v>1555</v>
      </c>
      <c r="K14" s="176">
        <v>762</v>
      </c>
      <c r="L14" s="175">
        <v>627</v>
      </c>
      <c r="M14" s="173" t="s">
        <v>131</v>
      </c>
      <c r="N14" s="174">
        <f t="shared" si="0"/>
      </c>
      <c r="O14" s="163"/>
      <c r="P14" s="163"/>
      <c r="Q14" s="163"/>
      <c r="R14" s="163"/>
      <c r="S14" s="163"/>
      <c r="T14" s="163"/>
      <c r="U14" s="163"/>
      <c r="V14" s="163"/>
      <c r="W14" s="163"/>
    </row>
    <row r="15">
      <c r="A15" s="169">
        <v>46154</v>
      </c>
      <c r="B15" s="175">
        <v>42</v>
      </c>
      <c r="C15" s="176">
        <v>64</v>
      </c>
      <c r="D15" s="175">
        <v>44</v>
      </c>
      <c r="E15" s="176">
        <v>88</v>
      </c>
      <c r="F15" s="175">
        <v>403</v>
      </c>
      <c r="G15" s="177">
        <v>2373</v>
      </c>
      <c r="H15" s="175">
        <v>459</v>
      </c>
      <c r="I15" s="177">
        <v>1305</v>
      </c>
      <c r="J15" s="178">
        <v>1588</v>
      </c>
      <c r="K15" s="176">
        <v>828</v>
      </c>
      <c r="L15" s="175">
        <v>740</v>
      </c>
      <c r="M15" s="173" t="s">
        <v>131</v>
      </c>
      <c r="N15" s="174">
        <f t="shared" si="0"/>
      </c>
      <c r="O15" s="163"/>
      <c r="P15" s="163"/>
      <c r="Q15" s="163"/>
      <c r="R15" s="163"/>
      <c r="S15" s="163"/>
      <c r="T15" s="163"/>
      <c r="U15" s="163"/>
      <c r="V15" s="163"/>
      <c r="W15" s="163"/>
    </row>
    <row r="16">
      <c r="A16" s="169">
        <v>46155</v>
      </c>
      <c r="B16" s="175">
        <v>13</v>
      </c>
      <c r="C16" s="176">
        <v>93</v>
      </c>
      <c r="D16" s="175">
        <v>95</v>
      </c>
      <c r="E16" s="176">
        <v>97</v>
      </c>
      <c r="F16" s="175">
        <v>421</v>
      </c>
      <c r="G16" s="177">
        <v>2441</v>
      </c>
      <c r="H16" s="175">
        <v>392</v>
      </c>
      <c r="I16" s="177">
        <v>1034</v>
      </c>
      <c r="J16" s="178">
        <v>1564</v>
      </c>
      <c r="K16" s="176">
        <v>624</v>
      </c>
      <c r="L16" s="175">
        <v>659</v>
      </c>
      <c r="M16" s="173" t="s">
        <v>131</v>
      </c>
      <c r="N16" s="174">
        <f t="shared" si="0"/>
      </c>
      <c r="O16" s="163"/>
      <c r="P16" s="163"/>
      <c r="Q16" s="163"/>
      <c r="R16" s="163"/>
      <c r="S16" s="163"/>
      <c r="T16" s="163"/>
      <c r="U16" s="163"/>
      <c r="V16" s="163"/>
      <c r="W16" s="163"/>
    </row>
    <row r="17">
      <c r="A17" s="169">
        <v>46156</v>
      </c>
      <c r="B17" s="175">
        <v>10</v>
      </c>
      <c r="C17" s="182">
        <v>83</v>
      </c>
      <c r="D17" s="175">
        <v>110</v>
      </c>
      <c r="E17" s="182">
        <v>77</v>
      </c>
      <c r="F17" s="175">
        <v>538</v>
      </c>
      <c r="G17" s="177">
        <v>2139</v>
      </c>
      <c r="H17" s="175">
        <v>316</v>
      </c>
      <c r="I17" s="177">
        <v>1572</v>
      </c>
      <c r="J17" s="178">
        <v>1942</v>
      </c>
      <c r="K17" s="176">
        <v>535</v>
      </c>
      <c r="L17" s="175">
        <v>468</v>
      </c>
      <c r="M17" s="173" t="s">
        <v>131</v>
      </c>
      <c r="N17" s="174">
        <f t="shared" si="0"/>
      </c>
      <c r="O17" s="163"/>
      <c r="P17" s="163"/>
      <c r="Q17" s="163"/>
      <c r="R17" s="163"/>
      <c r="S17" s="163"/>
      <c r="T17" s="163"/>
      <c r="U17" s="163"/>
      <c r="V17" s="163"/>
      <c r="W17" s="163"/>
    </row>
    <row r="18">
      <c r="A18" s="169">
        <v>46157</v>
      </c>
      <c r="B18" s="175">
        <v>12</v>
      </c>
      <c r="C18" s="176">
        <v>112</v>
      </c>
      <c r="D18" s="175">
        <v>106</v>
      </c>
      <c r="E18" s="176">
        <v>110</v>
      </c>
      <c r="F18" s="175">
        <v>598</v>
      </c>
      <c r="G18" s="177">
        <v>2444</v>
      </c>
      <c r="H18" s="175">
        <v>350</v>
      </c>
      <c r="I18" s="177">
        <v>1321</v>
      </c>
      <c r="J18" s="178">
        <v>2050</v>
      </c>
      <c r="K18" s="176">
        <v>650</v>
      </c>
      <c r="L18" s="175">
        <v>498</v>
      </c>
      <c r="M18" s="173" t="s">
        <v>131</v>
      </c>
      <c r="N18" s="174">
        <f t="shared" si="0"/>
      </c>
      <c r="O18" s="163"/>
      <c r="P18" s="163"/>
      <c r="Q18" s="163"/>
      <c r="R18" s="163"/>
      <c r="S18" s="163"/>
      <c r="T18" s="163"/>
      <c r="U18" s="163"/>
      <c r="V18" s="163"/>
      <c r="W18" s="163"/>
    </row>
    <row r="19">
      <c r="A19" s="169">
        <v>46158</v>
      </c>
      <c r="B19" s="180">
        <v>6</v>
      </c>
      <c r="C19" s="176">
        <v>68</v>
      </c>
      <c r="D19" s="175">
        <v>100</v>
      </c>
      <c r="E19" s="176">
        <v>117</v>
      </c>
      <c r="F19" s="175">
        <v>620</v>
      </c>
      <c r="G19" s="177">
        <v>3385</v>
      </c>
      <c r="H19" s="175">
        <v>284</v>
      </c>
      <c r="I19" s="177">
        <v>1517</v>
      </c>
      <c r="J19" s="178">
        <v>2792</v>
      </c>
      <c r="K19" s="176">
        <v>952</v>
      </c>
      <c r="L19" s="175">
        <v>427</v>
      </c>
      <c r="M19" s="173" t="s">
        <v>131</v>
      </c>
      <c r="N19" s="174">
        <f t="shared" si="0"/>
      </c>
      <c r="O19" s="163"/>
      <c r="P19" s="163"/>
      <c r="Q19" s="163"/>
      <c r="R19" s="163"/>
      <c r="S19" s="163"/>
      <c r="T19" s="163"/>
      <c r="U19" s="163"/>
      <c r="V19" s="163"/>
      <c r="W19" s="163"/>
    </row>
    <row r="20">
      <c r="A20" s="169">
        <v>46159</v>
      </c>
      <c r="B20" s="180">
        <v>14</v>
      </c>
      <c r="C20" s="176">
        <v>71</v>
      </c>
      <c r="D20" s="175">
        <v>129</v>
      </c>
      <c r="E20" s="176">
        <v>86</v>
      </c>
      <c r="F20" s="175">
        <v>501</v>
      </c>
      <c r="G20" s="177">
        <v>3433</v>
      </c>
      <c r="H20" s="175">
        <v>189</v>
      </c>
      <c r="I20" s="177">
        <v>1393</v>
      </c>
      <c r="J20" s="178">
        <v>3180</v>
      </c>
      <c r="K20" s="176">
        <v>834</v>
      </c>
      <c r="L20" s="175">
        <v>364</v>
      </c>
      <c r="M20" s="173" t="s">
        <v>131</v>
      </c>
      <c r="N20" s="174">
        <f t="shared" si="0"/>
      </c>
      <c r="O20" s="163"/>
      <c r="P20" s="163"/>
      <c r="Q20" s="163"/>
      <c r="R20" s="163"/>
      <c r="S20" s="163"/>
      <c r="T20" s="163"/>
      <c r="U20" s="163"/>
      <c r="V20" s="163"/>
      <c r="W20" s="163"/>
    </row>
    <row r="21">
      <c r="A21" s="169">
        <v>46160</v>
      </c>
      <c r="B21" s="180">
        <v>8</v>
      </c>
      <c r="C21" s="176">
        <v>64</v>
      </c>
      <c r="D21" s="175">
        <v>129</v>
      </c>
      <c r="E21" s="176">
        <v>94</v>
      </c>
      <c r="F21" s="175">
        <v>427</v>
      </c>
      <c r="G21" s="177">
        <v>2787</v>
      </c>
      <c r="H21" s="175">
        <v>209</v>
      </c>
      <c r="I21" s="177">
        <v>1034</v>
      </c>
      <c r="J21" s="178">
        <v>2913</v>
      </c>
      <c r="K21" s="176">
        <v>716</v>
      </c>
      <c r="L21" s="175">
        <v>363</v>
      </c>
      <c r="M21" s="173" t="s">
        <v>131</v>
      </c>
      <c r="N21" s="174">
        <f t="shared" si="0"/>
      </c>
      <c r="O21" s="163"/>
      <c r="P21" s="163"/>
      <c r="Q21" s="163"/>
      <c r="R21" s="163"/>
      <c r="S21" s="163"/>
      <c r="T21" s="163"/>
      <c r="U21" s="163"/>
      <c r="V21" s="163"/>
      <c r="W21" s="163"/>
    </row>
    <row r="22">
      <c r="A22" s="169">
        <v>46161</v>
      </c>
      <c r="B22" s="180">
        <v>10</v>
      </c>
      <c r="C22" s="176">
        <v>36</v>
      </c>
      <c r="D22" s="180">
        <v>222</v>
      </c>
      <c r="E22" s="176">
        <v>89</v>
      </c>
      <c r="F22" s="175">
        <v>433</v>
      </c>
      <c r="G22" s="177">
        <v>1604</v>
      </c>
      <c r="H22" s="175">
        <v>249</v>
      </c>
      <c r="I22" s="183">
        <v>1009</v>
      </c>
      <c r="J22" s="184">
        <v>3078</v>
      </c>
      <c r="K22" s="182">
        <v>682</v>
      </c>
      <c r="L22" s="180">
        <v>480</v>
      </c>
      <c r="M22" s="173" t="s">
        <v>131</v>
      </c>
      <c r="N22" s="174">
        <f t="shared" si="0"/>
      </c>
      <c r="O22" s="163"/>
      <c r="P22" s="163"/>
      <c r="Q22" s="163"/>
      <c r="R22" s="163"/>
      <c r="S22" s="163"/>
      <c r="T22" s="163"/>
      <c r="U22" s="163"/>
      <c r="V22" s="163"/>
      <c r="W22" s="163"/>
    </row>
    <row r="23">
      <c r="A23" s="169">
        <v>46162</v>
      </c>
      <c r="B23" s="180">
        <v>7</v>
      </c>
      <c r="C23" s="176">
        <v>60</v>
      </c>
      <c r="D23" s="175">
        <v>296</v>
      </c>
      <c r="E23" s="176">
        <v>158</v>
      </c>
      <c r="F23" s="175">
        <v>473</v>
      </c>
      <c r="G23" s="177">
        <v>1261</v>
      </c>
      <c r="H23" s="175">
        <v>361</v>
      </c>
      <c r="I23" s="177">
        <v>1144</v>
      </c>
      <c r="J23" s="178">
        <v>3202</v>
      </c>
      <c r="K23" s="176">
        <v>841</v>
      </c>
      <c r="L23" s="175">
        <v>408</v>
      </c>
      <c r="M23" s="173" t="s">
        <v>131</v>
      </c>
      <c r="N23" s="174">
        <f t="shared" si="0"/>
      </c>
      <c r="O23" s="163"/>
      <c r="P23" s="163"/>
      <c r="Q23" s="163"/>
      <c r="R23" s="163"/>
      <c r="S23" s="163"/>
      <c r="T23" s="163"/>
      <c r="U23" s="163"/>
      <c r="V23" s="163"/>
      <c r="W23" s="163"/>
    </row>
    <row r="24">
      <c r="A24" s="169">
        <v>46163</v>
      </c>
      <c r="B24" s="180">
        <v>11</v>
      </c>
      <c r="C24" s="182">
        <v>64</v>
      </c>
      <c r="D24" s="180">
        <v>242</v>
      </c>
      <c r="E24" s="182">
        <v>99</v>
      </c>
      <c r="F24" s="175">
        <v>520</v>
      </c>
      <c r="G24" s="177">
        <v>1277</v>
      </c>
      <c r="H24" s="175">
        <v>210</v>
      </c>
      <c r="I24" s="183">
        <v>1337</v>
      </c>
      <c r="J24" s="184">
        <v>2497</v>
      </c>
      <c r="K24" s="182">
        <v>664</v>
      </c>
      <c r="L24" s="180">
        <v>323</v>
      </c>
      <c r="M24" s="173" t="s">
        <v>131</v>
      </c>
      <c r="N24" s="174">
        <f t="shared" si="0"/>
      </c>
      <c r="O24" s="163"/>
      <c r="P24" s="163"/>
      <c r="Q24" s="163"/>
      <c r="R24" s="163"/>
      <c r="S24" s="163"/>
      <c r="T24" s="163"/>
      <c r="U24" s="163"/>
      <c r="V24" s="163"/>
      <c r="W24" s="163"/>
    </row>
    <row r="25">
      <c r="A25" s="169">
        <v>46164</v>
      </c>
      <c r="B25" s="180">
        <v>10</v>
      </c>
      <c r="C25" s="176">
        <v>101</v>
      </c>
      <c r="D25" s="175">
        <v>195</v>
      </c>
      <c r="E25" s="176">
        <v>83</v>
      </c>
      <c r="F25" s="175">
        <v>594</v>
      </c>
      <c r="G25" s="176">
        <v>911</v>
      </c>
      <c r="H25" s="175">
        <v>363</v>
      </c>
      <c r="I25" s="177">
        <v>1476</v>
      </c>
      <c r="J25" s="178">
        <v>2476</v>
      </c>
      <c r="K25" s="176">
        <v>781</v>
      </c>
      <c r="L25" s="175">
        <v>217</v>
      </c>
      <c r="M25" s="173" t="s">
        <v>131</v>
      </c>
      <c r="N25" s="174">
        <f t="shared" si="0"/>
      </c>
      <c r="O25" s="163"/>
      <c r="P25" s="163"/>
      <c r="Q25" s="163"/>
      <c r="R25" s="163"/>
      <c r="S25" s="163"/>
      <c r="T25" s="163"/>
      <c r="U25" s="163"/>
      <c r="V25" s="163"/>
      <c r="W25" s="163"/>
    </row>
    <row r="26">
      <c r="A26" s="169">
        <v>46165</v>
      </c>
      <c r="B26" s="180">
        <v>8</v>
      </c>
      <c r="C26" s="182">
        <v>101</v>
      </c>
      <c r="D26" s="180">
        <v>220</v>
      </c>
      <c r="E26" s="182">
        <v>198</v>
      </c>
      <c r="F26" s="180">
        <v>514</v>
      </c>
      <c r="G26" s="182">
        <v>598</v>
      </c>
      <c r="H26" s="180">
        <v>196</v>
      </c>
      <c r="I26" s="183">
        <v>1163</v>
      </c>
      <c r="J26" s="184">
        <v>1796</v>
      </c>
      <c r="K26" s="182">
        <v>887</v>
      </c>
      <c r="L26" s="180">
        <v>238</v>
      </c>
      <c r="M26" s="173" t="s">
        <v>131</v>
      </c>
      <c r="N26" s="174">
        <f t="shared" si="0"/>
      </c>
      <c r="O26" s="163"/>
      <c r="P26" s="163"/>
      <c r="Q26" s="163"/>
      <c r="R26" s="163"/>
      <c r="S26" s="163"/>
      <c r="T26" s="163"/>
      <c r="U26" s="163"/>
      <c r="V26" s="163"/>
      <c r="W26" s="163"/>
    </row>
    <row r="27">
      <c r="A27" s="169">
        <v>46166</v>
      </c>
      <c r="B27" s="180">
        <v>6</v>
      </c>
      <c r="C27" s="182">
        <v>36</v>
      </c>
      <c r="D27" s="180">
        <v>186</v>
      </c>
      <c r="E27" s="182">
        <v>194</v>
      </c>
      <c r="F27" s="180">
        <v>372</v>
      </c>
      <c r="G27" s="182">
        <v>378</v>
      </c>
      <c r="H27" s="180">
        <v>187</v>
      </c>
      <c r="I27" s="183">
        <v>1022</v>
      </c>
      <c r="J27" s="184">
        <v>1456</v>
      </c>
      <c r="K27" s="182">
        <v>934</v>
      </c>
      <c r="L27" s="180">
        <v>224</v>
      </c>
      <c r="M27" s="173" t="s">
        <v>131</v>
      </c>
      <c r="N27" s="174">
        <f t="shared" si="0"/>
      </c>
      <c r="O27" s="163"/>
      <c r="P27" s="163"/>
      <c r="Q27" s="163"/>
      <c r="R27" s="163"/>
      <c r="S27" s="163"/>
      <c r="T27" s="163"/>
      <c r="U27" s="163"/>
      <c r="V27" s="163"/>
      <c r="W27" s="163"/>
    </row>
    <row r="28">
      <c r="A28" s="169">
        <v>46167</v>
      </c>
      <c r="B28" s="180">
        <v>6</v>
      </c>
      <c r="C28" s="176">
        <v>106</v>
      </c>
      <c r="D28" s="175">
        <v>137</v>
      </c>
      <c r="E28" s="176">
        <v>80</v>
      </c>
      <c r="F28" s="180">
        <v>601</v>
      </c>
      <c r="G28" s="182">
        <v>251</v>
      </c>
      <c r="H28" s="175">
        <v>466</v>
      </c>
      <c r="I28" s="177">
        <v>1066</v>
      </c>
      <c r="J28" s="178">
        <v>1045</v>
      </c>
      <c r="K28" s="177">
        <v>1046</v>
      </c>
      <c r="L28" s="175">
        <v>220</v>
      </c>
      <c r="M28" s="173" t="s">
        <v>131</v>
      </c>
      <c r="N28" s="174">
        <f t="shared" si="0"/>
      </c>
      <c r="O28" s="163"/>
      <c r="P28" s="163"/>
      <c r="Q28" s="163"/>
      <c r="R28" s="163"/>
      <c r="S28" s="163"/>
      <c r="T28" s="163"/>
      <c r="U28" s="163"/>
      <c r="V28" s="163"/>
      <c r="W28" s="163"/>
    </row>
    <row r="29">
      <c r="A29" s="169">
        <v>46168</v>
      </c>
      <c r="B29" s="180">
        <v>13</v>
      </c>
      <c r="C29" s="182">
        <v>93</v>
      </c>
      <c r="D29" s="180">
        <v>117</v>
      </c>
      <c r="E29" s="182">
        <v>64</v>
      </c>
      <c r="F29" s="180">
        <v>701</v>
      </c>
      <c r="G29" s="182">
        <v>208</v>
      </c>
      <c r="H29" s="180">
        <v>372</v>
      </c>
      <c r="I29" s="183">
        <v>1408</v>
      </c>
      <c r="J29" s="180">
        <v>712</v>
      </c>
      <c r="K29" s="183">
        <v>1095</v>
      </c>
      <c r="L29" s="180">
        <v>272</v>
      </c>
      <c r="M29" s="173" t="s">
        <v>131</v>
      </c>
      <c r="N29" s="174">
        <f t="shared" si="0"/>
      </c>
      <c r="O29" s="163"/>
      <c r="P29" s="163"/>
      <c r="Q29" s="163"/>
      <c r="R29" s="163"/>
      <c r="S29" s="163"/>
      <c r="T29" s="163"/>
      <c r="U29" s="163"/>
      <c r="V29" s="163"/>
      <c r="W29" s="163"/>
    </row>
    <row r="30">
      <c r="A30" s="169">
        <v>46169</v>
      </c>
      <c r="B30" s="180">
        <v>4</v>
      </c>
      <c r="C30" s="182">
        <v>101</v>
      </c>
      <c r="D30" s="180">
        <v>110</v>
      </c>
      <c r="E30" s="182">
        <v>78</v>
      </c>
      <c r="F30" s="180">
        <v>550</v>
      </c>
      <c r="G30" s="182">
        <v>166</v>
      </c>
      <c r="H30" s="180">
        <v>271</v>
      </c>
      <c r="I30" s="183">
        <v>1237</v>
      </c>
      <c r="J30" s="180">
        <v>922</v>
      </c>
      <c r="K30" s="182">
        <v>842</v>
      </c>
      <c r="L30" s="180">
        <v>239</v>
      </c>
      <c r="M30" s="173" t="s">
        <v>131</v>
      </c>
      <c r="N30" s="174">
        <f t="shared" si="0"/>
      </c>
      <c r="O30" s="163"/>
      <c r="P30" s="163"/>
      <c r="Q30" s="163"/>
      <c r="R30" s="163"/>
      <c r="S30" s="163"/>
      <c r="T30" s="163"/>
      <c r="U30" s="163"/>
      <c r="V30" s="163"/>
      <c r="W30" s="163"/>
    </row>
    <row r="31">
      <c r="A31" s="169">
        <v>46170</v>
      </c>
      <c r="B31" s="180">
        <v>9</v>
      </c>
      <c r="C31" s="182">
        <v>62</v>
      </c>
      <c r="D31" s="180">
        <v>119</v>
      </c>
      <c r="E31" s="182">
        <v>124</v>
      </c>
      <c r="F31" s="180">
        <v>577</v>
      </c>
      <c r="G31" s="182">
        <v>160</v>
      </c>
      <c r="H31" s="180">
        <v>262</v>
      </c>
      <c r="I31" s="183">
        <v>1145</v>
      </c>
      <c r="J31" s="180">
        <v>585</v>
      </c>
      <c r="K31" s="183">
        <v>1006</v>
      </c>
      <c r="L31" s="180">
        <v>251</v>
      </c>
      <c r="M31" s="173" t="s">
        <v>131</v>
      </c>
      <c r="N31" s="174">
        <f t="shared" si="0"/>
      </c>
      <c r="O31" s="163"/>
      <c r="P31" s="163"/>
      <c r="Q31" s="163"/>
      <c r="R31" s="163"/>
      <c r="S31" s="163"/>
      <c r="T31" s="163"/>
      <c r="U31" s="163"/>
      <c r="V31" s="163"/>
      <c r="W31" s="163"/>
    </row>
    <row r="32">
      <c r="A32" s="169">
        <v>46171</v>
      </c>
      <c r="B32" s="180">
        <v>9</v>
      </c>
      <c r="C32" s="182">
        <v>92</v>
      </c>
      <c r="D32" s="180">
        <v>176</v>
      </c>
      <c r="E32" s="182">
        <v>127</v>
      </c>
      <c r="F32" s="180">
        <v>620</v>
      </c>
      <c r="G32" s="182">
        <v>161</v>
      </c>
      <c r="H32" s="180">
        <v>306</v>
      </c>
      <c r="I32" s="183">
        <v>1076</v>
      </c>
      <c r="J32" s="180">
        <v>561</v>
      </c>
      <c r="K32" s="182">
        <v>992</v>
      </c>
      <c r="L32" s="180">
        <v>249</v>
      </c>
      <c r="M32" s="173" t="s">
        <v>131</v>
      </c>
      <c r="N32" s="174">
        <f t="shared" si="0"/>
      </c>
      <c r="O32" s="163"/>
      <c r="P32" s="163"/>
      <c r="Q32" s="163"/>
      <c r="R32" s="163"/>
      <c r="S32" s="163"/>
      <c r="T32" s="163"/>
      <c r="U32" s="163"/>
      <c r="V32" s="163"/>
      <c r="W32" s="163"/>
    </row>
    <row r="33">
      <c r="A33" s="169">
        <v>46172</v>
      </c>
      <c r="B33" s="180">
        <v>7</v>
      </c>
      <c r="C33" s="182">
        <v>54</v>
      </c>
      <c r="D33" s="180">
        <v>157</v>
      </c>
      <c r="E33" s="182">
        <v>72</v>
      </c>
      <c r="F33" s="180">
        <v>479</v>
      </c>
      <c r="G33" s="182">
        <v>144</v>
      </c>
      <c r="H33" s="180">
        <v>246</v>
      </c>
      <c r="I33" s="182">
        <v>835</v>
      </c>
      <c r="J33" s="180">
        <v>548</v>
      </c>
      <c r="K33" s="183">
        <v>1037</v>
      </c>
      <c r="L33" s="180">
        <v>182</v>
      </c>
      <c r="M33" s="173" t="s">
        <v>131</v>
      </c>
      <c r="N33" s="174">
        <f t="shared" si="0"/>
      </c>
      <c r="O33" s="163"/>
      <c r="P33" s="163"/>
      <c r="Q33" s="163"/>
      <c r="R33" s="163"/>
      <c r="S33" s="163"/>
      <c r="T33" s="163"/>
      <c r="U33" s="163"/>
      <c r="V33" s="163"/>
      <c r="W33" s="163"/>
    </row>
    <row r="34">
      <c r="A34" s="169">
        <v>46173</v>
      </c>
      <c r="B34" s="180">
        <v>6</v>
      </c>
      <c r="C34" s="182">
        <v>43</v>
      </c>
      <c r="D34" s="180">
        <v>168</v>
      </c>
      <c r="E34" s="182">
        <v>50</v>
      </c>
      <c r="F34" s="180">
        <v>355</v>
      </c>
      <c r="G34" s="182">
        <v>114</v>
      </c>
      <c r="H34" s="180">
        <v>226</v>
      </c>
      <c r="I34" s="182">
        <v>712</v>
      </c>
      <c r="J34" s="180">
        <v>516</v>
      </c>
      <c r="K34" s="182">
        <v>875</v>
      </c>
      <c r="L34" s="180">
        <v>111</v>
      </c>
      <c r="M34" s="173" t="s">
        <v>131</v>
      </c>
      <c r="N34" s="174">
        <f t="shared" si="0"/>
      </c>
      <c r="O34" s="163"/>
      <c r="P34" s="163"/>
      <c r="Q34" s="163"/>
      <c r="R34" s="163"/>
      <c r="S34" s="163"/>
      <c r="T34" s="163"/>
      <c r="U34" s="163"/>
      <c r="V34" s="163"/>
      <c r="W34" s="163"/>
    </row>
    <row r="35">
      <c r="A35" s="169">
        <v>46174</v>
      </c>
      <c r="B35" s="180">
        <v>6</v>
      </c>
      <c r="C35" s="182">
        <v>85</v>
      </c>
      <c r="D35" s="180">
        <v>156</v>
      </c>
      <c r="E35" s="182">
        <v>106</v>
      </c>
      <c r="F35" s="180">
        <v>398</v>
      </c>
      <c r="G35" s="182">
        <v>425</v>
      </c>
      <c r="H35" s="180">
        <v>323</v>
      </c>
      <c r="I35" s="183">
        <v>1011</v>
      </c>
      <c r="J35" s="180">
        <v>593</v>
      </c>
      <c r="K35" s="183">
        <v>1072</v>
      </c>
      <c r="L35" s="180">
        <v>180</v>
      </c>
      <c r="M35" s="173" t="s">
        <v>131</v>
      </c>
      <c r="N35" s="174">
        <f t="shared" si="0"/>
      </c>
      <c r="O35" s="163"/>
      <c r="P35" s="163"/>
      <c r="Q35" s="163"/>
      <c r="R35" s="163"/>
      <c r="S35" s="163"/>
      <c r="T35" s="163"/>
      <c r="U35" s="163"/>
      <c r="V35" s="163"/>
      <c r="W35" s="163"/>
    </row>
    <row r="36">
      <c r="A36" s="169">
        <v>46175</v>
      </c>
      <c r="B36" s="180">
        <v>8</v>
      </c>
      <c r="C36" s="182">
        <v>79</v>
      </c>
      <c r="D36" s="180">
        <v>140</v>
      </c>
      <c r="E36" s="182">
        <v>140</v>
      </c>
      <c r="F36" s="180">
        <v>401</v>
      </c>
      <c r="G36" s="183">
        <v>2230</v>
      </c>
      <c r="H36" s="180">
        <v>267</v>
      </c>
      <c r="I36" s="183">
        <v>1159</v>
      </c>
      <c r="J36" s="180">
        <v>676</v>
      </c>
      <c r="K36" s="182">
        <v>983</v>
      </c>
      <c r="L36" s="180">
        <v>253</v>
      </c>
      <c r="M36" s="173" t="s">
        <v>131</v>
      </c>
      <c r="N36" s="174">
        <f t="shared" si="0"/>
      </c>
      <c r="O36" s="163"/>
      <c r="P36" s="163"/>
      <c r="Q36" s="163"/>
      <c r="R36" s="163"/>
      <c r="S36" s="163"/>
      <c r="T36" s="163"/>
      <c r="U36" s="163"/>
      <c r="V36" s="163"/>
      <c r="W36" s="163"/>
    </row>
    <row r="37">
      <c r="A37" s="169">
        <v>46176</v>
      </c>
      <c r="B37" s="180">
        <v>8</v>
      </c>
      <c r="C37" s="182">
        <v>45</v>
      </c>
      <c r="D37" s="180">
        <v>168</v>
      </c>
      <c r="E37" s="182">
        <v>169</v>
      </c>
      <c r="F37" s="180">
        <v>479</v>
      </c>
      <c r="G37" s="182">
        <v>702</v>
      </c>
      <c r="H37" s="180">
        <v>288</v>
      </c>
      <c r="I37" s="182">
        <v>914</v>
      </c>
      <c r="J37" s="180">
        <v>361</v>
      </c>
      <c r="K37" s="183">
        <v>1066</v>
      </c>
      <c r="L37" s="180">
        <v>201</v>
      </c>
      <c r="M37" s="173" t="s">
        <v>131</v>
      </c>
      <c r="N37" s="174">
        <f t="shared" si="0"/>
      </c>
      <c r="O37" s="163"/>
      <c r="P37" s="163"/>
      <c r="Q37" s="163"/>
      <c r="R37" s="163"/>
      <c r="S37" s="163"/>
      <c r="T37" s="163"/>
      <c r="U37" s="163"/>
      <c r="V37" s="163"/>
      <c r="W37" s="163"/>
    </row>
    <row r="38">
      <c r="A38" s="169">
        <v>46177</v>
      </c>
      <c r="B38" s="180">
        <v>11</v>
      </c>
      <c r="C38" s="182">
        <v>53</v>
      </c>
      <c r="D38" s="180">
        <v>192</v>
      </c>
      <c r="E38" s="182">
        <v>170</v>
      </c>
      <c r="F38" s="180">
        <v>634</v>
      </c>
      <c r="G38" s="182">
        <v>414</v>
      </c>
      <c r="H38" s="180">
        <v>373</v>
      </c>
      <c r="I38" s="182">
        <v>941</v>
      </c>
      <c r="J38" s="180">
        <v>345</v>
      </c>
      <c r="K38" s="183">
        <v>1431</v>
      </c>
      <c r="L38" s="180">
        <v>185</v>
      </c>
      <c r="M38" s="173" t="s">
        <v>131</v>
      </c>
      <c r="N38" s="174">
        <f t="shared" si="0"/>
      </c>
      <c r="O38" s="163"/>
      <c r="P38" s="163"/>
      <c r="Q38" s="163"/>
      <c r="R38" s="163"/>
      <c r="S38" s="163"/>
      <c r="T38" s="163"/>
      <c r="U38" s="163"/>
      <c r="V38" s="163"/>
      <c r="W38" s="163"/>
    </row>
    <row r="39">
      <c r="A39" s="169">
        <v>46178</v>
      </c>
      <c r="B39" s="180">
        <v>6</v>
      </c>
      <c r="C39" s="182">
        <v>48</v>
      </c>
      <c r="D39" s="180">
        <v>230</v>
      </c>
      <c r="E39" s="182">
        <v>140</v>
      </c>
      <c r="F39" s="180">
        <v>768</v>
      </c>
      <c r="G39" s="182">
        <v>452</v>
      </c>
      <c r="H39" s="180">
        <v>294</v>
      </c>
      <c r="I39" s="183">
        <v>1255</v>
      </c>
      <c r="J39" s="180">
        <v>387</v>
      </c>
      <c r="K39" s="183">
        <v>1623</v>
      </c>
      <c r="L39" s="180">
        <v>168</v>
      </c>
      <c r="M39" s="173" t="s">
        <v>131</v>
      </c>
      <c r="N39" s="174">
        <f t="shared" si="0"/>
      </c>
      <c r="O39" s="163"/>
      <c r="P39" s="163"/>
      <c r="Q39" s="163"/>
      <c r="R39" s="163"/>
      <c r="S39" s="163"/>
      <c r="T39" s="163"/>
      <c r="U39" s="163"/>
      <c r="V39" s="163"/>
      <c r="W39" s="163"/>
    </row>
    <row r="40">
      <c r="A40" s="169">
        <v>46179</v>
      </c>
      <c r="B40" s="180">
        <v>4</v>
      </c>
      <c r="C40" s="182">
        <v>119</v>
      </c>
      <c r="D40" s="180">
        <v>266</v>
      </c>
      <c r="E40" s="182">
        <v>67</v>
      </c>
      <c r="F40" s="180">
        <v>621</v>
      </c>
      <c r="G40" s="182">
        <v>165</v>
      </c>
      <c r="H40" s="180">
        <v>262</v>
      </c>
      <c r="I40" s="183">
        <v>2794</v>
      </c>
      <c r="J40" s="180">
        <v>343</v>
      </c>
      <c r="K40" s="183">
        <v>2252</v>
      </c>
      <c r="L40" s="180">
        <v>140</v>
      </c>
      <c r="M40" s="173" t="s">
        <v>131</v>
      </c>
      <c r="N40" s="174">
        <f t="shared" si="0"/>
      </c>
      <c r="O40" s="163"/>
      <c r="P40" s="163"/>
      <c r="Q40" s="163"/>
      <c r="R40" s="163"/>
      <c r="S40" s="163"/>
      <c r="T40" s="163"/>
      <c r="U40" s="163"/>
      <c r="V40" s="163"/>
      <c r="W40" s="163"/>
    </row>
    <row r="41">
      <c r="A41" s="169">
        <v>46180</v>
      </c>
      <c r="B41" s="180">
        <v>3</v>
      </c>
      <c r="C41" s="182">
        <v>61</v>
      </c>
      <c r="D41" s="180">
        <v>257</v>
      </c>
      <c r="E41" s="182">
        <v>78</v>
      </c>
      <c r="F41" s="180">
        <v>630</v>
      </c>
      <c r="G41" s="182">
        <v>121</v>
      </c>
      <c r="H41" s="180">
        <v>164</v>
      </c>
      <c r="I41" s="183">
        <v>2284</v>
      </c>
      <c r="J41" s="180">
        <v>237</v>
      </c>
      <c r="K41" s="183">
        <v>2439</v>
      </c>
      <c r="L41" s="180">
        <v>128</v>
      </c>
      <c r="M41" s="173" t="s">
        <v>131</v>
      </c>
      <c r="N41" s="174">
        <f t="shared" si="0"/>
      </c>
      <c r="O41" s="163"/>
      <c r="P41" s="163"/>
      <c r="Q41" s="163"/>
      <c r="R41" s="163"/>
      <c r="S41" s="163"/>
      <c r="T41" s="163"/>
      <c r="U41" s="163"/>
      <c r="V41" s="163"/>
      <c r="W41" s="163"/>
    </row>
    <row r="42">
      <c r="A42" s="169">
        <v>46181</v>
      </c>
      <c r="B42" s="180">
        <v>6</v>
      </c>
      <c r="C42" s="182">
        <v>35</v>
      </c>
      <c r="D42" s="180">
        <v>324</v>
      </c>
      <c r="E42" s="182">
        <v>87</v>
      </c>
      <c r="F42" s="180">
        <v>619</v>
      </c>
      <c r="G42" s="182">
        <v>92</v>
      </c>
      <c r="H42" s="180">
        <v>188</v>
      </c>
      <c r="I42" s="183">
        <v>2384</v>
      </c>
      <c r="J42" s="180">
        <v>202</v>
      </c>
      <c r="K42" s="183">
        <v>1735</v>
      </c>
      <c r="L42" s="180">
        <v>167</v>
      </c>
      <c r="M42" s="173" t="s">
        <v>131</v>
      </c>
      <c r="N42" s="174">
        <f t="shared" si="0"/>
      </c>
      <c r="O42" s="163"/>
      <c r="P42" s="163"/>
      <c r="Q42" s="163"/>
      <c r="R42" s="163"/>
      <c r="S42" s="163"/>
      <c r="T42" s="163"/>
      <c r="U42" s="163"/>
      <c r="V42" s="163"/>
      <c r="W42" s="163"/>
    </row>
    <row r="43">
      <c r="A43" s="169">
        <v>46182</v>
      </c>
      <c r="B43" s="180">
        <v>3</v>
      </c>
      <c r="C43" s="182">
        <v>59</v>
      </c>
      <c r="D43" s="180">
        <v>291</v>
      </c>
      <c r="E43" s="182">
        <v>96</v>
      </c>
      <c r="F43" s="180">
        <v>686</v>
      </c>
      <c r="G43" s="182">
        <v>79</v>
      </c>
      <c r="H43" s="180">
        <v>147</v>
      </c>
      <c r="I43" s="183">
        <v>1404</v>
      </c>
      <c r="J43" s="180">
        <v>241</v>
      </c>
      <c r="K43" s="183">
        <v>1856</v>
      </c>
      <c r="L43" s="180">
        <v>268</v>
      </c>
      <c r="M43" s="173" t="s">
        <v>131</v>
      </c>
      <c r="N43" s="174">
        <f t="shared" si="0"/>
      </c>
      <c r="O43" s="163"/>
      <c r="P43" s="163"/>
      <c r="Q43" s="163"/>
      <c r="R43" s="163"/>
      <c r="S43" s="163"/>
      <c r="T43" s="163"/>
      <c r="U43" s="163"/>
      <c r="V43" s="163"/>
      <c r="W43" s="163"/>
    </row>
    <row r="44">
      <c r="A44" s="169">
        <v>46183</v>
      </c>
      <c r="B44" s="180">
        <v>7</v>
      </c>
      <c r="C44" s="182">
        <v>51</v>
      </c>
      <c r="D44" s="180">
        <v>288</v>
      </c>
      <c r="E44" s="182">
        <v>67</v>
      </c>
      <c r="F44" s="180">
        <v>689</v>
      </c>
      <c r="G44" s="182">
        <v>63</v>
      </c>
      <c r="H44" s="180">
        <v>136</v>
      </c>
      <c r="I44" s="183">
        <v>1443</v>
      </c>
      <c r="J44" s="180">
        <v>194</v>
      </c>
      <c r="K44" s="183">
        <v>1695</v>
      </c>
      <c r="L44" s="180">
        <v>217</v>
      </c>
      <c r="M44" s="182">
        <v>58</v>
      </c>
      <c r="N44" s="174">
        <f t="shared" si="0"/>
      </c>
      <c r="O44" s="163"/>
      <c r="P44" s="163"/>
      <c r="Q44" s="163"/>
      <c r="R44" s="163"/>
      <c r="S44" s="163"/>
      <c r="T44" s="163"/>
      <c r="U44" s="163"/>
      <c r="V44" s="163"/>
      <c r="W44" s="163"/>
    </row>
    <row r="45">
      <c r="A45" s="169">
        <v>46184</v>
      </c>
      <c r="B45" s="180">
        <v>4</v>
      </c>
      <c r="C45" s="182">
        <v>56</v>
      </c>
      <c r="D45" s="180">
        <v>323</v>
      </c>
      <c r="E45" s="182">
        <v>41</v>
      </c>
      <c r="F45" s="180">
        <v>508</v>
      </c>
      <c r="G45" s="182">
        <v>57</v>
      </c>
      <c r="H45" s="180">
        <v>151</v>
      </c>
      <c r="I45" s="183">
        <v>1127</v>
      </c>
      <c r="J45" s="180">
        <v>174</v>
      </c>
      <c r="K45" s="183">
        <v>1384</v>
      </c>
      <c r="L45" s="180">
        <v>236</v>
      </c>
      <c r="M45" s="182">
        <v>594</v>
      </c>
      <c r="N45" s="174">
        <f t="shared" si="0"/>
      </c>
      <c r="O45" s="163"/>
      <c r="P45" s="163"/>
      <c r="Q45" s="163"/>
      <c r="R45" s="163"/>
      <c r="S45" s="163"/>
      <c r="T45" s="163"/>
      <c r="U45" s="163"/>
      <c r="V45" s="163"/>
      <c r="W45" s="163"/>
    </row>
    <row r="46">
      <c r="A46" s="169">
        <v>46185</v>
      </c>
      <c r="B46" s="180">
        <v>4</v>
      </c>
      <c r="C46" s="182">
        <v>33</v>
      </c>
      <c r="D46" s="180">
        <v>277</v>
      </c>
      <c r="E46" s="182">
        <v>30</v>
      </c>
      <c r="F46" s="180">
        <v>682</v>
      </c>
      <c r="G46" s="182">
        <v>58</v>
      </c>
      <c r="H46" s="180">
        <v>131</v>
      </c>
      <c r="I46" s="182">
        <v>881</v>
      </c>
      <c r="J46" s="180">
        <v>172</v>
      </c>
      <c r="K46" s="183">
        <v>1248</v>
      </c>
      <c r="L46" s="180">
        <v>154</v>
      </c>
      <c r="M46" s="182">
        <v>872</v>
      </c>
      <c r="N46" s="174">
        <f t="shared" si="0"/>
      </c>
      <c r="O46" s="163"/>
      <c r="P46" s="163"/>
      <c r="Q46" s="163"/>
      <c r="R46" s="163"/>
      <c r="S46" s="163"/>
      <c r="T46" s="163"/>
      <c r="U46" s="163"/>
      <c r="V46" s="163"/>
      <c r="W46" s="163"/>
    </row>
    <row r="47">
      <c r="A47" s="169">
        <v>46186</v>
      </c>
      <c r="B47" s="180">
        <v>5</v>
      </c>
      <c r="C47" s="182">
        <v>27</v>
      </c>
      <c r="D47" s="180">
        <v>249</v>
      </c>
      <c r="E47" s="182">
        <v>33</v>
      </c>
      <c r="F47" s="180">
        <v>699</v>
      </c>
      <c r="G47" s="182">
        <v>65</v>
      </c>
      <c r="H47" s="180">
        <v>123</v>
      </c>
      <c r="I47" s="182">
        <v>704</v>
      </c>
      <c r="J47" s="180">
        <v>165</v>
      </c>
      <c r="K47" s="183">
        <v>1751</v>
      </c>
      <c r="L47" s="180">
        <v>165</v>
      </c>
      <c r="M47" s="182">
        <v>657</v>
      </c>
      <c r="N47" s="174">
        <f t="shared" si="0"/>
      </c>
      <c r="O47" s="163"/>
      <c r="P47" s="163"/>
      <c r="Q47" s="163"/>
      <c r="R47" s="163"/>
      <c r="S47" s="163"/>
      <c r="T47" s="163"/>
      <c r="U47" s="163"/>
      <c r="V47" s="163"/>
      <c r="W47" s="163"/>
    </row>
    <row r="48">
      <c r="A48" s="169">
        <v>46187</v>
      </c>
      <c r="B48" s="180">
        <v>4</v>
      </c>
      <c r="C48" s="182">
        <v>18</v>
      </c>
      <c r="D48" s="180">
        <v>302</v>
      </c>
      <c r="E48" s="182">
        <v>29</v>
      </c>
      <c r="F48" s="180">
        <v>535</v>
      </c>
      <c r="G48" s="182">
        <v>57</v>
      </c>
      <c r="H48" s="180">
        <v>131</v>
      </c>
      <c r="I48" s="182">
        <v>448</v>
      </c>
      <c r="J48" s="180">
        <v>139</v>
      </c>
      <c r="K48" s="183">
        <v>2797</v>
      </c>
      <c r="L48" s="180">
        <v>139</v>
      </c>
      <c r="M48" s="182">
        <v>595</v>
      </c>
      <c r="N48" s="174">
        <f t="shared" si="0"/>
      </c>
      <c r="O48" s="163"/>
      <c r="P48" s="163"/>
      <c r="Q48" s="163"/>
      <c r="R48" s="163"/>
      <c r="S48" s="163"/>
      <c r="T48" s="163"/>
      <c r="U48" s="163"/>
      <c r="V48" s="163"/>
      <c r="W48" s="163"/>
    </row>
    <row r="49">
      <c r="A49" s="169">
        <v>46188</v>
      </c>
      <c r="B49" s="180">
        <v>1</v>
      </c>
      <c r="C49" s="182">
        <v>29</v>
      </c>
      <c r="D49" s="180">
        <v>276</v>
      </c>
      <c r="E49" s="182">
        <v>42</v>
      </c>
      <c r="F49" s="180">
        <v>635</v>
      </c>
      <c r="G49" s="182">
        <v>60</v>
      </c>
      <c r="H49" s="180">
        <v>154</v>
      </c>
      <c r="I49" s="182">
        <v>697</v>
      </c>
      <c r="J49" s="180">
        <v>168</v>
      </c>
      <c r="K49" s="183">
        <v>2596</v>
      </c>
      <c r="L49" s="180">
        <v>266</v>
      </c>
      <c r="M49" s="182">
        <v>691</v>
      </c>
      <c r="N49" s="174">
        <f t="shared" si="0"/>
      </c>
      <c r="O49" s="163"/>
      <c r="P49" s="163"/>
      <c r="Q49" s="163"/>
      <c r="R49" s="163"/>
      <c r="S49" s="163"/>
      <c r="T49" s="163"/>
      <c r="U49" s="163"/>
      <c r="V49" s="163"/>
      <c r="W49" s="163"/>
    </row>
    <row r="50">
      <c r="A50" s="169">
        <v>46189</v>
      </c>
      <c r="B50" s="180">
        <v>3</v>
      </c>
      <c r="C50" s="182">
        <v>14</v>
      </c>
      <c r="D50" s="180">
        <v>258</v>
      </c>
      <c r="E50" s="182">
        <v>48</v>
      </c>
      <c r="F50" s="180">
        <v>668</v>
      </c>
      <c r="G50" s="182">
        <v>111</v>
      </c>
      <c r="H50" s="180">
        <v>115</v>
      </c>
      <c r="I50" s="182">
        <v>896</v>
      </c>
      <c r="J50" s="180">
        <v>172</v>
      </c>
      <c r="K50" s="183">
        <v>2123</v>
      </c>
      <c r="L50" s="180">
        <v>260</v>
      </c>
      <c r="M50" s="182">
        <v>700</v>
      </c>
      <c r="N50" s="174">
        <f t="shared" si="0"/>
      </c>
      <c r="O50" s="163"/>
      <c r="P50" s="163"/>
      <c r="Q50" s="163"/>
      <c r="R50" s="163"/>
      <c r="S50" s="163"/>
      <c r="T50" s="163"/>
      <c r="U50" s="163"/>
      <c r="V50" s="163"/>
      <c r="W50" s="163"/>
    </row>
    <row r="51">
      <c r="A51" s="169">
        <v>46190</v>
      </c>
      <c r="B51" s="180">
        <v>6</v>
      </c>
      <c r="C51" s="182">
        <v>25</v>
      </c>
      <c r="D51" s="180">
        <v>176</v>
      </c>
      <c r="E51" s="182">
        <v>99</v>
      </c>
      <c r="F51" s="180">
        <v>510</v>
      </c>
      <c r="G51" s="182">
        <v>175</v>
      </c>
      <c r="H51" s="180">
        <v>109</v>
      </c>
      <c r="I51" s="182">
        <v>742</v>
      </c>
      <c r="J51" s="180">
        <v>153</v>
      </c>
      <c r="K51" s="183">
        <v>1698</v>
      </c>
      <c r="L51" s="180">
        <v>322</v>
      </c>
      <c r="M51" s="182">
        <v>970</v>
      </c>
      <c r="N51" s="174">
        <f t="shared" si="0"/>
      </c>
      <c r="O51" s="163"/>
      <c r="P51" s="163"/>
      <c r="Q51" s="163"/>
      <c r="R51" s="163"/>
      <c r="S51" s="163"/>
      <c r="T51" s="163"/>
      <c r="U51" s="163"/>
      <c r="V51" s="163"/>
      <c r="W51" s="163"/>
    </row>
    <row r="52">
      <c r="A52" s="169">
        <v>46191</v>
      </c>
      <c r="B52" s="180">
        <v>3</v>
      </c>
      <c r="C52" s="182">
        <v>13</v>
      </c>
      <c r="D52" s="180">
        <v>263</v>
      </c>
      <c r="E52" s="182">
        <v>69</v>
      </c>
      <c r="F52" s="180">
        <v>436</v>
      </c>
      <c r="G52" s="182">
        <v>161</v>
      </c>
      <c r="H52" s="180">
        <v>138</v>
      </c>
      <c r="I52" s="182">
        <v>705</v>
      </c>
      <c r="J52" s="180">
        <v>116</v>
      </c>
      <c r="K52" s="183">
        <v>1657</v>
      </c>
      <c r="L52" s="180">
        <v>249</v>
      </c>
      <c r="M52" s="182">
        <v>672</v>
      </c>
      <c r="N52" s="174">
        <f t="shared" si="0"/>
      </c>
      <c r="O52" s="163"/>
      <c r="P52" s="163"/>
      <c r="Q52" s="163"/>
      <c r="R52" s="163"/>
      <c r="S52" s="163"/>
      <c r="T52" s="163"/>
      <c r="U52" s="163"/>
      <c r="V52" s="163"/>
      <c r="W52" s="163"/>
    </row>
    <row r="53">
      <c r="A53" s="169">
        <v>46192</v>
      </c>
      <c r="B53" s="180">
        <v>2</v>
      </c>
      <c r="C53" s="182">
        <v>34</v>
      </c>
      <c r="D53" s="180">
        <v>261</v>
      </c>
      <c r="E53" s="182">
        <v>77</v>
      </c>
      <c r="F53" s="180">
        <v>488</v>
      </c>
      <c r="G53" s="182">
        <v>150</v>
      </c>
      <c r="H53" s="180">
        <v>155</v>
      </c>
      <c r="I53" s="182">
        <v>656</v>
      </c>
      <c r="J53" s="180">
        <v>127</v>
      </c>
      <c r="K53" s="183">
        <v>2005</v>
      </c>
      <c r="L53" s="180">
        <v>188</v>
      </c>
      <c r="M53" s="182">
        <v>621</v>
      </c>
      <c r="N53" s="174">
        <f t="shared" si="0"/>
      </c>
      <c r="O53" s="163"/>
      <c r="P53" s="163"/>
      <c r="Q53" s="163"/>
      <c r="R53" s="163"/>
      <c r="S53" s="163"/>
      <c r="T53" s="163"/>
      <c r="U53" s="163"/>
      <c r="V53" s="163"/>
      <c r="W53" s="163"/>
    </row>
    <row r="54">
      <c r="A54" s="169">
        <v>46193</v>
      </c>
      <c r="B54" s="185">
        <v>3</v>
      </c>
      <c r="C54" s="182">
        <v>97</v>
      </c>
      <c r="D54" s="185">
        <v>292</v>
      </c>
      <c r="E54" s="182">
        <v>85</v>
      </c>
      <c r="F54" s="180">
        <v>492</v>
      </c>
      <c r="G54" s="182">
        <v>149</v>
      </c>
      <c r="H54" s="180">
        <v>242</v>
      </c>
      <c r="I54" s="182">
        <v>649</v>
      </c>
      <c r="J54" s="185">
        <v>160</v>
      </c>
      <c r="K54" s="183">
        <v>2155</v>
      </c>
      <c r="L54" s="185">
        <v>201</v>
      </c>
      <c r="M54" s="182">
        <v>756</v>
      </c>
      <c r="N54" s="174">
        <f t="shared" si="0"/>
      </c>
      <c r="O54" s="163"/>
      <c r="P54" s="163"/>
      <c r="Q54" s="163"/>
      <c r="R54" s="163"/>
      <c r="S54" s="163"/>
      <c r="T54" s="163"/>
      <c r="U54" s="163"/>
      <c r="V54" s="163"/>
      <c r="W54" s="163"/>
    </row>
    <row r="55">
      <c r="A55" s="169">
        <v>46194</v>
      </c>
      <c r="B55" s="185">
        <v>2</v>
      </c>
      <c r="C55" s="182">
        <v>113</v>
      </c>
      <c r="D55" s="185">
        <v>270</v>
      </c>
      <c r="E55" s="182">
        <v>64</v>
      </c>
      <c r="F55" s="180">
        <v>445</v>
      </c>
      <c r="G55" s="182">
        <v>171</v>
      </c>
      <c r="H55" s="180">
        <v>170</v>
      </c>
      <c r="I55" s="182">
        <v>311</v>
      </c>
      <c r="J55" s="185">
        <v>112</v>
      </c>
      <c r="K55" s="183">
        <v>2325</v>
      </c>
      <c r="L55" s="185">
        <v>149</v>
      </c>
      <c r="M55" s="182">
        <v>647</v>
      </c>
      <c r="N55" s="174">
        <f t="shared" si="0"/>
      </c>
      <c r="O55" s="163"/>
      <c r="P55" s="163"/>
      <c r="Q55" s="163"/>
      <c r="R55" s="163"/>
      <c r="S55" s="163"/>
      <c r="T55" s="163"/>
      <c r="U55" s="163"/>
      <c r="V55" s="163"/>
      <c r="W55" s="163"/>
    </row>
    <row r="56">
      <c r="A56" s="169">
        <v>46195</v>
      </c>
      <c r="B56" s="175"/>
      <c r="C56" s="176"/>
      <c r="D56" s="175"/>
      <c r="E56" s="176"/>
      <c r="F56" s="175"/>
      <c r="G56" s="176"/>
      <c r="H56" s="175"/>
      <c r="I56" s="176"/>
      <c r="J56" s="175"/>
      <c r="K56" s="176"/>
      <c r="L56" s="175"/>
      <c r="M56" s="176"/>
      <c r="N56" s="174">
        <f t="shared" si="0"/>
      </c>
      <c r="O56" s="163"/>
      <c r="P56" s="163"/>
      <c r="Q56" s="163"/>
      <c r="R56" s="163"/>
      <c r="S56" s="163"/>
      <c r="T56" s="163"/>
      <c r="U56" s="163"/>
      <c r="V56" s="163"/>
      <c r="W56" s="163"/>
    </row>
    <row r="57">
      <c r="A57" s="169">
        <v>46196</v>
      </c>
      <c r="B57" s="175"/>
      <c r="C57" s="176"/>
      <c r="D57" s="175"/>
      <c r="E57" s="176"/>
      <c r="F57" s="175"/>
      <c r="G57" s="176"/>
      <c r="H57" s="175"/>
      <c r="I57" s="176"/>
      <c r="J57" s="175"/>
      <c r="K57" s="176"/>
      <c r="L57" s="175"/>
      <c r="M57" s="176"/>
      <c r="N57" s="162"/>
      <c r="O57" s="163"/>
      <c r="P57" s="163"/>
      <c r="Q57" s="163"/>
      <c r="R57" s="163"/>
      <c r="S57" s="163"/>
      <c r="T57" s="163"/>
      <c r="U57" s="163"/>
      <c r="V57" s="163"/>
      <c r="W57" s="163"/>
    </row>
    <row r="58">
      <c r="A58" s="169">
        <v>46197</v>
      </c>
      <c r="B58" s="175"/>
      <c r="C58" s="176"/>
      <c r="D58" s="175"/>
      <c r="E58" s="176"/>
      <c r="F58" s="175"/>
      <c r="G58" s="176"/>
      <c r="H58" s="175"/>
      <c r="I58" s="176"/>
      <c r="J58" s="175"/>
      <c r="K58" s="176"/>
      <c r="L58" s="175"/>
      <c r="M58" s="176"/>
      <c r="N58" s="162"/>
      <c r="O58" s="163"/>
      <c r="P58" s="163"/>
      <c r="Q58" s="163"/>
      <c r="R58" s="163"/>
      <c r="S58" s="163"/>
      <c r="T58" s="163"/>
      <c r="U58" s="163"/>
      <c r="V58" s="163"/>
      <c r="W58" s="163"/>
    </row>
    <row r="59">
      <c r="A59" s="169">
        <v>46198</v>
      </c>
      <c r="B59" s="175"/>
      <c r="C59" s="176"/>
      <c r="D59" s="175"/>
      <c r="E59" s="176"/>
      <c r="F59" s="175"/>
      <c r="G59" s="176"/>
      <c r="H59" s="175"/>
      <c r="I59" s="176"/>
      <c r="J59" s="175"/>
      <c r="K59" s="176"/>
      <c r="L59" s="175"/>
      <c r="M59" s="176"/>
      <c r="N59" s="162"/>
      <c r="O59" s="163"/>
      <c r="P59" s="163"/>
      <c r="Q59" s="163"/>
      <c r="R59" s="163"/>
      <c r="S59" s="163"/>
      <c r="T59" s="163"/>
      <c r="U59" s="163"/>
      <c r="V59" s="163"/>
      <c r="W59" s="163"/>
    </row>
    <row r="60">
      <c r="A60" s="169">
        <v>46199</v>
      </c>
      <c r="B60" s="175"/>
      <c r="C60" s="176"/>
      <c r="D60" s="175"/>
      <c r="E60" s="176"/>
      <c r="F60" s="175"/>
      <c r="G60" s="176"/>
      <c r="H60" s="175"/>
      <c r="I60" s="176"/>
      <c r="J60" s="175"/>
      <c r="K60" s="176"/>
      <c r="L60" s="175"/>
      <c r="M60" s="176"/>
      <c r="N60" s="162"/>
      <c r="O60" s="163"/>
      <c r="P60" s="163"/>
      <c r="Q60" s="163"/>
      <c r="R60" s="163"/>
      <c r="S60" s="163"/>
      <c r="T60" s="163"/>
      <c r="U60" s="163"/>
      <c r="V60" s="163"/>
      <c r="W60" s="163"/>
    </row>
    <row r="61">
      <c r="A61" s="169">
        <v>46200</v>
      </c>
      <c r="B61" s="175"/>
      <c r="C61" s="176"/>
      <c r="D61" s="175"/>
      <c r="E61" s="176"/>
      <c r="F61" s="175"/>
      <c r="G61" s="176"/>
      <c r="H61" s="175"/>
      <c r="I61" s="176"/>
      <c r="J61" s="175"/>
      <c r="K61" s="176"/>
      <c r="L61" s="175"/>
      <c r="M61" s="176"/>
      <c r="N61" s="162"/>
      <c r="O61" s="163"/>
      <c r="P61" s="163"/>
      <c r="Q61" s="163"/>
      <c r="R61" s="163"/>
      <c r="S61" s="163"/>
      <c r="T61" s="163"/>
      <c r="U61" s="163"/>
      <c r="V61" s="163"/>
      <c r="W61" s="163"/>
    </row>
    <row r="62">
      <c r="A62" s="169">
        <v>46201</v>
      </c>
      <c r="B62" s="175"/>
      <c r="C62" s="176"/>
      <c r="D62" s="175"/>
      <c r="E62" s="176"/>
      <c r="F62" s="175"/>
      <c r="G62" s="176"/>
      <c r="H62" s="175"/>
      <c r="I62" s="176"/>
      <c r="J62" s="175"/>
      <c r="K62" s="176"/>
      <c r="L62" s="175"/>
      <c r="M62" s="176"/>
      <c r="N62" s="162"/>
      <c r="O62" s="163"/>
      <c r="P62" s="163"/>
      <c r="Q62" s="163"/>
      <c r="R62" s="163"/>
      <c r="S62" s="163"/>
      <c r="T62" s="163"/>
      <c r="U62" s="163"/>
      <c r="V62" s="163"/>
      <c r="W62" s="163"/>
    </row>
    <row r="63">
      <c r="A63" s="169">
        <v>46202</v>
      </c>
      <c r="B63" s="175"/>
      <c r="C63" s="176"/>
      <c r="D63" s="175"/>
      <c r="E63" s="176"/>
      <c r="F63" s="175"/>
      <c r="G63" s="176"/>
      <c r="H63" s="175"/>
      <c r="I63" s="176"/>
      <c r="J63" s="175"/>
      <c r="K63" s="176"/>
      <c r="L63" s="175"/>
      <c r="M63" s="176"/>
      <c r="N63" s="162"/>
      <c r="O63" s="163"/>
      <c r="P63" s="163"/>
      <c r="Q63" s="163"/>
      <c r="R63" s="163"/>
      <c r="S63" s="163"/>
      <c r="T63" s="163"/>
      <c r="U63" s="163"/>
      <c r="V63" s="163"/>
      <c r="W63" s="163"/>
    </row>
    <row r="64">
      <c r="A64" s="169">
        <v>46203</v>
      </c>
      <c r="B64" s="175"/>
      <c r="C64" s="176"/>
      <c r="D64" s="175"/>
      <c r="E64" s="176"/>
      <c r="F64" s="175"/>
      <c r="G64" s="176"/>
      <c r="H64" s="175"/>
      <c r="I64" s="176"/>
      <c r="J64" s="175"/>
      <c r="K64" s="176"/>
      <c r="L64" s="175"/>
      <c r="M64" s="176"/>
      <c r="N64" s="162"/>
      <c r="O64" s="163"/>
      <c r="P64" s="163"/>
      <c r="Q64" s="163"/>
      <c r="R64" s="163"/>
      <c r="S64" s="163"/>
      <c r="T64" s="163"/>
      <c r="U64" s="163"/>
      <c r="V64" s="163"/>
      <c r="W64" s="163"/>
    </row>
    <row r="65">
      <c r="A65" s="169">
        <v>46204</v>
      </c>
      <c r="B65" s="175"/>
      <c r="C65" s="176"/>
      <c r="D65" s="175"/>
      <c r="E65" s="176"/>
      <c r="F65" s="175"/>
      <c r="G65" s="176"/>
      <c r="H65" s="175"/>
      <c r="I65" s="176"/>
      <c r="J65" s="175"/>
      <c r="K65" s="176"/>
      <c r="L65" s="175"/>
      <c r="M65" s="176"/>
      <c r="N65" s="162"/>
      <c r="O65" s="163"/>
      <c r="P65" s="163"/>
      <c r="Q65" s="163"/>
      <c r="R65" s="163"/>
      <c r="S65" s="163"/>
      <c r="T65" s="163"/>
      <c r="U65" s="163"/>
      <c r="V65" s="163"/>
      <c r="W65" s="163"/>
    </row>
    <row r="66">
      <c r="A66" s="169">
        <v>46205</v>
      </c>
      <c r="B66" s="175"/>
      <c r="C66" s="176"/>
      <c r="D66" s="175"/>
      <c r="E66" s="176"/>
      <c r="F66" s="175"/>
      <c r="G66" s="176"/>
      <c r="H66" s="175"/>
      <c r="I66" s="176"/>
      <c r="J66" s="175"/>
      <c r="K66" s="176"/>
      <c r="L66" s="175"/>
      <c r="M66" s="176"/>
      <c r="N66" s="162"/>
      <c r="O66" s="163"/>
      <c r="P66" s="163"/>
      <c r="Q66" s="163"/>
      <c r="R66" s="163"/>
      <c r="S66" s="163"/>
      <c r="T66" s="163"/>
      <c r="U66" s="163"/>
      <c r="V66" s="163"/>
      <c r="W66" s="163"/>
    </row>
    <row r="67">
      <c r="A67" s="169">
        <v>46206</v>
      </c>
      <c r="B67" s="175"/>
      <c r="C67" s="176"/>
      <c r="D67" s="175"/>
      <c r="E67" s="176"/>
      <c r="F67" s="175"/>
      <c r="G67" s="176"/>
      <c r="H67" s="175"/>
      <c r="I67" s="176"/>
      <c r="J67" s="175"/>
      <c r="K67" s="176"/>
      <c r="L67" s="175"/>
      <c r="M67" s="176"/>
      <c r="N67" s="162"/>
      <c r="O67" s="163"/>
      <c r="P67" s="163"/>
      <c r="Q67" s="163"/>
      <c r="R67" s="163"/>
      <c r="S67" s="163"/>
      <c r="T67" s="163"/>
      <c r="U67" s="163"/>
      <c r="V67" s="163"/>
      <c r="W67" s="163"/>
    </row>
    <row r="68">
      <c r="A68" s="169">
        <v>46207</v>
      </c>
      <c r="B68" s="175"/>
      <c r="C68" s="176"/>
      <c r="D68" s="175"/>
      <c r="E68" s="176"/>
      <c r="F68" s="175"/>
      <c r="G68" s="176"/>
      <c r="H68" s="175"/>
      <c r="I68" s="176"/>
      <c r="J68" s="175"/>
      <c r="K68" s="176"/>
      <c r="L68" s="175"/>
      <c r="M68" s="176"/>
      <c r="N68" s="162"/>
      <c r="O68" s="163"/>
      <c r="P68" s="163"/>
      <c r="Q68" s="163"/>
      <c r="R68" s="163"/>
      <c r="S68" s="163"/>
      <c r="T68" s="163"/>
      <c r="U68" s="163"/>
      <c r="V68" s="163"/>
      <c r="W68" s="163"/>
    </row>
    <row r="69">
      <c r="A69" s="169">
        <v>46208</v>
      </c>
      <c r="B69" s="175"/>
      <c r="C69" s="176"/>
      <c r="D69" s="175"/>
      <c r="E69" s="176"/>
      <c r="F69" s="175"/>
      <c r="G69" s="176"/>
      <c r="H69" s="175"/>
      <c r="I69" s="176"/>
      <c r="J69" s="175"/>
      <c r="K69" s="176"/>
      <c r="L69" s="175"/>
      <c r="M69" s="176"/>
      <c r="N69" s="162"/>
      <c r="O69" s="163"/>
      <c r="P69" s="163"/>
      <c r="Q69" s="163"/>
      <c r="R69" s="163"/>
      <c r="S69" s="163"/>
      <c r="T69" s="163"/>
      <c r="U69" s="163"/>
      <c r="V69" s="163"/>
      <c r="W69" s="163"/>
    </row>
    <row r="70">
      <c r="A70" s="169">
        <v>46209</v>
      </c>
      <c r="B70" s="175"/>
      <c r="C70" s="176"/>
      <c r="D70" s="175"/>
      <c r="E70" s="176"/>
      <c r="F70" s="175"/>
      <c r="G70" s="176"/>
      <c r="H70" s="175"/>
      <c r="I70" s="176"/>
      <c r="J70" s="175"/>
      <c r="K70" s="176"/>
      <c r="L70" s="175"/>
      <c r="M70" s="176"/>
      <c r="N70" s="162"/>
      <c r="O70" s="163"/>
      <c r="P70" s="163"/>
      <c r="Q70" s="163"/>
      <c r="R70" s="163"/>
      <c r="S70" s="163"/>
      <c r="T70" s="163"/>
      <c r="U70" s="163"/>
      <c r="V70" s="163"/>
      <c r="W70" s="163"/>
    </row>
    <row r="71">
      <c r="A71" s="169">
        <v>46210</v>
      </c>
      <c r="B71" s="175"/>
      <c r="C71" s="176"/>
      <c r="D71" s="175"/>
      <c r="E71" s="176"/>
      <c r="F71" s="175"/>
      <c r="G71" s="176"/>
      <c r="H71" s="175"/>
      <c r="I71" s="176"/>
      <c r="J71" s="175"/>
      <c r="K71" s="176"/>
      <c r="L71" s="175"/>
      <c r="M71" s="176"/>
      <c r="N71" s="162"/>
      <c r="O71" s="163"/>
      <c r="P71" s="163"/>
      <c r="Q71" s="163"/>
      <c r="R71" s="163"/>
      <c r="S71" s="163"/>
      <c r="T71" s="163"/>
      <c r="U71" s="163"/>
      <c r="V71" s="163"/>
      <c r="W71" s="163"/>
    </row>
    <row r="72">
      <c r="A72" s="169">
        <v>46211</v>
      </c>
      <c r="B72" s="175"/>
      <c r="C72" s="176"/>
      <c r="D72" s="175"/>
      <c r="E72" s="176"/>
      <c r="F72" s="175"/>
      <c r="G72" s="176"/>
      <c r="H72" s="175"/>
      <c r="I72" s="176"/>
      <c r="J72" s="175"/>
      <c r="K72" s="176"/>
      <c r="L72" s="175"/>
      <c r="M72" s="176"/>
      <c r="N72" s="162"/>
      <c r="O72" s="163"/>
      <c r="P72" s="163"/>
      <c r="Q72" s="163"/>
      <c r="R72" s="163"/>
      <c r="S72" s="163"/>
      <c r="T72" s="163"/>
      <c r="U72" s="163"/>
      <c r="V72" s="163"/>
      <c r="W72" s="163"/>
    </row>
    <row r="73">
      <c r="A73" s="169">
        <v>46212</v>
      </c>
      <c r="B73" s="175"/>
      <c r="C73" s="176"/>
      <c r="D73" s="175"/>
      <c r="E73" s="176"/>
      <c r="F73" s="175"/>
      <c r="G73" s="176"/>
      <c r="H73" s="175"/>
      <c r="I73" s="176"/>
      <c r="J73" s="175"/>
      <c r="K73" s="176"/>
      <c r="L73" s="175"/>
      <c r="M73" s="176"/>
      <c r="N73" s="162"/>
      <c r="O73" s="163"/>
      <c r="P73" s="163"/>
      <c r="Q73" s="163"/>
      <c r="R73" s="163"/>
      <c r="S73" s="163"/>
      <c r="T73" s="163"/>
      <c r="U73" s="163"/>
      <c r="V73" s="163"/>
      <c r="W73" s="163"/>
    </row>
    <row r="74">
      <c r="A74" s="169">
        <v>46213</v>
      </c>
      <c r="B74" s="175"/>
      <c r="C74" s="176"/>
      <c r="D74" s="175"/>
      <c r="E74" s="176"/>
      <c r="F74" s="175"/>
      <c r="G74" s="176"/>
      <c r="H74" s="175"/>
      <c r="I74" s="176"/>
      <c r="J74" s="175"/>
      <c r="K74" s="176"/>
      <c r="L74" s="175"/>
      <c r="M74" s="176"/>
      <c r="N74" s="162"/>
      <c r="O74" s="163"/>
      <c r="P74" s="163"/>
      <c r="Q74" s="163"/>
      <c r="R74" s="163"/>
      <c r="S74" s="163"/>
      <c r="T74" s="163"/>
      <c r="U74" s="163"/>
      <c r="V74" s="163"/>
      <c r="W74" s="163"/>
    </row>
    <row r="75">
      <c r="A75" s="169">
        <v>46214</v>
      </c>
      <c r="B75" s="175"/>
      <c r="C75" s="176"/>
      <c r="D75" s="175"/>
      <c r="E75" s="176"/>
      <c r="F75" s="175"/>
      <c r="G75" s="176"/>
      <c r="H75" s="175"/>
      <c r="I75" s="176"/>
      <c r="J75" s="175"/>
      <c r="K75" s="176"/>
      <c r="L75" s="175"/>
      <c r="M75" s="176"/>
      <c r="N75" s="162"/>
      <c r="O75" s="163"/>
      <c r="P75" s="163"/>
      <c r="Q75" s="163"/>
      <c r="R75" s="163"/>
      <c r="S75" s="163"/>
      <c r="T75" s="163"/>
      <c r="U75" s="163"/>
      <c r="V75" s="163"/>
      <c r="W75" s="163"/>
    </row>
    <row r="76">
      <c r="A76" s="169">
        <v>46215</v>
      </c>
      <c r="B76" s="175"/>
      <c r="C76" s="176"/>
      <c r="D76" s="175"/>
      <c r="E76" s="176"/>
      <c r="F76" s="175"/>
      <c r="G76" s="176"/>
      <c r="H76" s="175"/>
      <c r="I76" s="176"/>
      <c r="J76" s="175"/>
      <c r="K76" s="176"/>
      <c r="L76" s="175"/>
      <c r="M76" s="176"/>
      <c r="N76" s="162"/>
      <c r="O76" s="163"/>
      <c r="P76" s="163"/>
      <c r="Q76" s="163"/>
      <c r="R76" s="163"/>
      <c r="S76" s="163"/>
      <c r="T76" s="163"/>
      <c r="U76" s="163"/>
      <c r="V76" s="163"/>
      <c r="W76" s="163"/>
    </row>
    <row r="77">
      <c r="A77" s="186"/>
      <c r="B77" s="175"/>
      <c r="C77" s="176"/>
      <c r="D77" s="175"/>
      <c r="E77" s="176"/>
      <c r="F77" s="175"/>
      <c r="G77" s="176"/>
      <c r="H77" s="175"/>
      <c r="I77" s="176"/>
      <c r="J77" s="175"/>
      <c r="K77" s="176"/>
      <c r="L77" s="175"/>
      <c r="M77" s="176"/>
      <c r="N77" s="162"/>
      <c r="O77" s="163"/>
      <c r="P77" s="163"/>
      <c r="Q77" s="163"/>
      <c r="R77" s="163"/>
      <c r="S77" s="163"/>
      <c r="T77" s="163"/>
      <c r="U77" s="163"/>
      <c r="V77" s="163"/>
      <c r="W77" s="163"/>
    </row>
    <row r="78">
      <c r="A78" s="186"/>
      <c r="B78" s="175"/>
      <c r="C78" s="176"/>
      <c r="D78" s="175"/>
      <c r="E78" s="176"/>
      <c r="F78" s="175"/>
      <c r="G78" s="176"/>
      <c r="H78" s="175"/>
      <c r="I78" s="176"/>
      <c r="J78" s="175"/>
      <c r="K78" s="176"/>
      <c r="L78" s="175"/>
      <c r="M78" s="176"/>
      <c r="N78" s="162"/>
      <c r="O78" s="163"/>
      <c r="P78" s="163"/>
      <c r="Q78" s="163"/>
      <c r="R78" s="163"/>
      <c r="S78" s="163"/>
      <c r="T78" s="163"/>
      <c r="U78" s="163"/>
      <c r="V78" s="163"/>
      <c r="W78" s="163"/>
    </row>
    <row r="79">
      <c r="A79" s="186"/>
      <c r="B79" s="175"/>
      <c r="C79" s="176"/>
      <c r="D79" s="175"/>
      <c r="E79" s="176"/>
      <c r="F79" s="175"/>
      <c r="G79" s="176"/>
      <c r="H79" s="175"/>
      <c r="I79" s="176"/>
      <c r="J79" s="175"/>
      <c r="K79" s="176"/>
      <c r="L79" s="175"/>
      <c r="M79" s="176"/>
      <c r="N79" s="162"/>
      <c r="O79" s="163"/>
      <c r="P79" s="163"/>
      <c r="Q79" s="163"/>
      <c r="R79" s="163"/>
      <c r="S79" s="163"/>
      <c r="T79" s="163"/>
      <c r="U79" s="163"/>
      <c r="V79" s="163"/>
      <c r="W79" s="163"/>
    </row>
    <row r="80">
      <c r="A80" s="186"/>
      <c r="B80" s="175"/>
      <c r="C80" s="176"/>
      <c r="D80" s="175"/>
      <c r="E80" s="176"/>
      <c r="F80" s="175"/>
      <c r="G80" s="176"/>
      <c r="H80" s="175"/>
      <c r="I80" s="176"/>
      <c r="J80" s="175"/>
      <c r="K80" s="176"/>
      <c r="L80" s="175"/>
      <c r="M80" s="176"/>
      <c r="N80" s="162"/>
      <c r="O80" s="163"/>
      <c r="P80" s="163"/>
      <c r="Q80" s="163"/>
      <c r="R80" s="163"/>
      <c r="S80" s="163"/>
      <c r="T80" s="163"/>
      <c r="U80" s="163"/>
      <c r="V80" s="163"/>
      <c r="W80" s="163"/>
    </row>
    <row r="81">
      <c r="A81" s="186"/>
      <c r="B81" s="175"/>
      <c r="C81" s="176"/>
      <c r="D81" s="175"/>
      <c r="E81" s="176"/>
      <c r="F81" s="175"/>
      <c r="G81" s="176"/>
      <c r="H81" s="175"/>
      <c r="I81" s="176"/>
      <c r="J81" s="175"/>
      <c r="K81" s="176"/>
      <c r="L81" s="175"/>
      <c r="M81" s="176"/>
      <c r="N81" s="162"/>
      <c r="O81" s="163"/>
      <c r="P81" s="163"/>
      <c r="Q81" s="163"/>
      <c r="R81" s="163"/>
      <c r="S81" s="163"/>
      <c r="T81" s="163"/>
      <c r="U81" s="163"/>
      <c r="V81" s="163"/>
      <c r="W81" s="163"/>
    </row>
    <row r="82">
      <c r="A82" s="186"/>
      <c r="B82" s="175"/>
      <c r="C82" s="176"/>
      <c r="D82" s="175"/>
      <c r="E82" s="176"/>
      <c r="F82" s="175"/>
      <c r="G82" s="176"/>
      <c r="H82" s="175"/>
      <c r="I82" s="176"/>
      <c r="J82" s="175"/>
      <c r="K82" s="176"/>
      <c r="L82" s="175"/>
      <c r="M82" s="176"/>
      <c r="N82" s="162"/>
      <c r="O82" s="163"/>
      <c r="P82" s="163"/>
      <c r="Q82" s="163"/>
      <c r="R82" s="163"/>
      <c r="S82" s="163"/>
      <c r="T82" s="163"/>
      <c r="U82" s="163"/>
      <c r="V82" s="163"/>
      <c r="W82" s="163"/>
    </row>
    <row r="83">
      <c r="A83" s="186"/>
      <c r="B83" s="175"/>
      <c r="C83" s="176"/>
      <c r="D83" s="175"/>
      <c r="E83" s="176"/>
      <c r="F83" s="175"/>
      <c r="G83" s="176"/>
      <c r="H83" s="175"/>
      <c r="I83" s="176"/>
      <c r="J83" s="175"/>
      <c r="K83" s="176"/>
      <c r="L83" s="175"/>
      <c r="M83" s="176"/>
      <c r="N83" s="162"/>
      <c r="O83" s="163"/>
      <c r="P83" s="163"/>
      <c r="Q83" s="163"/>
      <c r="R83" s="163"/>
      <c r="S83" s="163"/>
      <c r="T83" s="163"/>
      <c r="U83" s="163"/>
      <c r="V83" s="163"/>
      <c r="W83" s="163"/>
    </row>
    <row r="84">
      <c r="A84" s="186"/>
      <c r="B84" s="175"/>
      <c r="C84" s="176"/>
      <c r="D84" s="175"/>
      <c r="E84" s="176"/>
      <c r="F84" s="175"/>
      <c r="G84" s="176"/>
      <c r="H84" s="175"/>
      <c r="I84" s="176"/>
      <c r="J84" s="175"/>
      <c r="K84" s="176"/>
      <c r="L84" s="175"/>
      <c r="M84" s="176"/>
      <c r="N84" s="162"/>
      <c r="O84" s="163"/>
      <c r="P84" s="163"/>
      <c r="Q84" s="163"/>
      <c r="R84" s="163"/>
      <c r="S84" s="163"/>
      <c r="T84" s="163"/>
      <c r="U84" s="163"/>
      <c r="V84" s="163"/>
      <c r="W84" s="163"/>
    </row>
    <row r="85">
      <c r="A85" s="186"/>
      <c r="B85" s="175"/>
      <c r="C85" s="176"/>
      <c r="D85" s="175"/>
      <c r="E85" s="176"/>
      <c r="F85" s="175"/>
      <c r="G85" s="176"/>
      <c r="H85" s="175"/>
      <c r="I85" s="176"/>
      <c r="J85" s="175"/>
      <c r="K85" s="176"/>
      <c r="L85" s="175"/>
      <c r="M85" s="176"/>
      <c r="N85" s="162"/>
      <c r="O85" s="163"/>
      <c r="P85" s="163"/>
      <c r="Q85" s="163"/>
      <c r="R85" s="163"/>
      <c r="S85" s="163"/>
      <c r="T85" s="163"/>
      <c r="U85" s="163"/>
      <c r="V85" s="163"/>
      <c r="W85" s="163"/>
    </row>
    <row r="86">
      <c r="A86" s="186"/>
      <c r="B86" s="175"/>
      <c r="C86" s="176"/>
      <c r="D86" s="175"/>
      <c r="E86" s="176"/>
      <c r="F86" s="175"/>
      <c r="G86" s="176"/>
      <c r="H86" s="175"/>
      <c r="I86" s="176"/>
      <c r="J86" s="175"/>
      <c r="K86" s="176"/>
      <c r="L86" s="175"/>
      <c r="M86" s="176"/>
      <c r="N86" s="162"/>
      <c r="O86" s="163"/>
      <c r="P86" s="163"/>
      <c r="Q86" s="163"/>
      <c r="R86" s="163"/>
      <c r="S86" s="163"/>
      <c r="T86" s="163"/>
      <c r="U86" s="163"/>
      <c r="V86" s="163"/>
      <c r="W86" s="163"/>
    </row>
    <row r="87">
      <c r="A87" s="186"/>
      <c r="B87" s="175"/>
      <c r="C87" s="176"/>
      <c r="D87" s="175"/>
      <c r="E87" s="176"/>
      <c r="F87" s="175"/>
      <c r="G87" s="176"/>
      <c r="H87" s="175"/>
      <c r="I87" s="176"/>
      <c r="J87" s="175"/>
      <c r="K87" s="176"/>
      <c r="L87" s="175"/>
      <c r="M87" s="176"/>
      <c r="N87" s="162"/>
      <c r="O87" s="163"/>
      <c r="P87" s="163"/>
      <c r="Q87" s="163"/>
      <c r="R87" s="163"/>
      <c r="S87" s="163"/>
      <c r="T87" s="163"/>
      <c r="U87" s="163"/>
      <c r="V87" s="163"/>
      <c r="W87" s="163"/>
    </row>
    <row r="88">
      <c r="A88" s="186"/>
      <c r="B88" s="175"/>
      <c r="C88" s="176"/>
      <c r="D88" s="175"/>
      <c r="E88" s="176"/>
      <c r="F88" s="175"/>
      <c r="G88" s="176"/>
      <c r="H88" s="175"/>
      <c r="I88" s="176"/>
      <c r="J88" s="175"/>
      <c r="K88" s="176"/>
      <c r="L88" s="175"/>
      <c r="M88" s="176"/>
      <c r="N88" s="162"/>
      <c r="O88" s="163"/>
      <c r="P88" s="163"/>
      <c r="Q88" s="163"/>
      <c r="R88" s="163"/>
      <c r="S88" s="163"/>
      <c r="T88" s="163"/>
      <c r="U88" s="163"/>
      <c r="V88" s="163"/>
      <c r="W88" s="163"/>
    </row>
    <row r="89">
      <c r="A89" s="186"/>
      <c r="B89" s="175"/>
      <c r="C89" s="176"/>
      <c r="D89" s="175"/>
      <c r="E89" s="176"/>
      <c r="F89" s="175"/>
      <c r="G89" s="176"/>
      <c r="H89" s="175"/>
      <c r="I89" s="176"/>
      <c r="J89" s="175"/>
      <c r="K89" s="176"/>
      <c r="L89" s="175"/>
      <c r="M89" s="176"/>
      <c r="N89" s="162"/>
      <c r="O89" s="163"/>
      <c r="P89" s="163"/>
      <c r="Q89" s="163"/>
      <c r="R89" s="163"/>
      <c r="S89" s="163"/>
      <c r="T89" s="163"/>
      <c r="U89" s="163"/>
      <c r="V89" s="163"/>
      <c r="W89" s="163"/>
    </row>
    <row r="90">
      <c r="A90" s="186"/>
      <c r="B90" s="175"/>
      <c r="C90" s="176"/>
      <c r="D90" s="175"/>
      <c r="E90" s="176"/>
      <c r="F90" s="175"/>
      <c r="G90" s="176"/>
      <c r="H90" s="175"/>
      <c r="I90" s="176"/>
      <c r="J90" s="175"/>
      <c r="K90" s="176"/>
      <c r="L90" s="175"/>
      <c r="M90" s="176"/>
      <c r="N90" s="162"/>
      <c r="O90" s="163"/>
      <c r="P90" s="163"/>
      <c r="Q90" s="163"/>
      <c r="R90" s="163"/>
      <c r="S90" s="163"/>
      <c r="T90" s="163"/>
      <c r="U90" s="163"/>
      <c r="V90" s="163"/>
      <c r="W90" s="163"/>
    </row>
    <row r="91">
      <c r="A91" s="186"/>
      <c r="B91" s="175"/>
      <c r="C91" s="176"/>
      <c r="D91" s="175"/>
      <c r="E91" s="176"/>
      <c r="F91" s="175"/>
      <c r="G91" s="176"/>
      <c r="H91" s="175"/>
      <c r="I91" s="176"/>
      <c r="J91" s="175"/>
      <c r="K91" s="176"/>
      <c r="L91" s="175"/>
      <c r="M91" s="176"/>
      <c r="N91" s="162"/>
      <c r="O91" s="163"/>
      <c r="P91" s="163"/>
      <c r="Q91" s="163"/>
      <c r="R91" s="163"/>
      <c r="S91" s="163"/>
      <c r="T91" s="163"/>
      <c r="U91" s="163"/>
      <c r="V91" s="163"/>
      <c r="W91" s="163"/>
    </row>
    <row r="92">
      <c r="A92" s="186"/>
      <c r="B92" s="175"/>
      <c r="C92" s="176"/>
      <c r="D92" s="175"/>
      <c r="E92" s="176"/>
      <c r="F92" s="175"/>
      <c r="G92" s="176"/>
      <c r="H92" s="175"/>
      <c r="I92" s="176"/>
      <c r="J92" s="175"/>
      <c r="K92" s="176"/>
      <c r="L92" s="175"/>
      <c r="M92" s="176"/>
      <c r="N92" s="162"/>
      <c r="O92" s="163"/>
      <c r="P92" s="163"/>
      <c r="Q92" s="163"/>
      <c r="R92" s="163"/>
      <c r="S92" s="163"/>
      <c r="T92" s="163"/>
      <c r="U92" s="163"/>
      <c r="V92" s="163"/>
      <c r="W92" s="163"/>
    </row>
    <row r="93">
      <c r="A93" s="186"/>
      <c r="B93" s="175"/>
      <c r="C93" s="176"/>
      <c r="D93" s="175"/>
      <c r="E93" s="176"/>
      <c r="F93" s="175"/>
      <c r="G93" s="176"/>
      <c r="H93" s="175"/>
      <c r="I93" s="176"/>
      <c r="J93" s="175"/>
      <c r="K93" s="176"/>
      <c r="L93" s="175"/>
      <c r="M93" s="176"/>
      <c r="N93" s="162"/>
      <c r="O93" s="163"/>
      <c r="P93" s="163"/>
      <c r="Q93" s="163"/>
      <c r="R93" s="163"/>
      <c r="S93" s="163"/>
      <c r="T93" s="163"/>
      <c r="U93" s="163"/>
      <c r="V93" s="163"/>
      <c r="W93" s="163"/>
    </row>
    <row r="94">
      <c r="A94" s="186"/>
      <c r="B94" s="175"/>
      <c r="C94" s="176"/>
      <c r="D94" s="175"/>
      <c r="E94" s="176"/>
      <c r="F94" s="175"/>
      <c r="G94" s="176"/>
      <c r="H94" s="175"/>
      <c r="I94" s="176"/>
      <c r="J94" s="175"/>
      <c r="K94" s="176"/>
      <c r="L94" s="175"/>
      <c r="M94" s="176"/>
      <c r="N94" s="162"/>
      <c r="O94" s="163"/>
      <c r="P94" s="163"/>
      <c r="Q94" s="163"/>
      <c r="R94" s="163"/>
      <c r="S94" s="163"/>
      <c r="T94" s="163"/>
      <c r="U94" s="163"/>
      <c r="V94" s="163"/>
      <c r="W94" s="163"/>
    </row>
    <row r="95">
      <c r="A95" s="186"/>
      <c r="B95" s="175"/>
      <c r="C95" s="176"/>
      <c r="D95" s="175"/>
      <c r="E95" s="176"/>
      <c r="F95" s="175"/>
      <c r="G95" s="176"/>
      <c r="H95" s="175"/>
      <c r="I95" s="176"/>
      <c r="J95" s="175"/>
      <c r="K95" s="176"/>
      <c r="L95" s="175"/>
      <c r="M95" s="176"/>
      <c r="N95" s="162"/>
      <c r="O95" s="163"/>
      <c r="P95" s="163"/>
      <c r="Q95" s="163"/>
      <c r="R95" s="163"/>
      <c r="S95" s="163"/>
      <c r="T95" s="163"/>
      <c r="U95" s="163"/>
      <c r="V95" s="163"/>
      <c r="W95" s="163"/>
    </row>
    <row r="96">
      <c r="A96" s="186"/>
      <c r="B96" s="175"/>
      <c r="C96" s="176"/>
      <c r="D96" s="175"/>
      <c r="E96" s="176"/>
      <c r="F96" s="175"/>
      <c r="G96" s="176"/>
      <c r="H96" s="175"/>
      <c r="I96" s="176"/>
      <c r="J96" s="175"/>
      <c r="K96" s="176"/>
      <c r="L96" s="175"/>
      <c r="M96" s="176"/>
      <c r="N96" s="162"/>
      <c r="O96" s="163"/>
      <c r="P96" s="163"/>
      <c r="Q96" s="163"/>
      <c r="R96" s="163"/>
      <c r="S96" s="163"/>
      <c r="T96" s="163"/>
      <c r="U96" s="163"/>
      <c r="V96" s="163"/>
      <c r="W96" s="163"/>
    </row>
    <row r="97">
      <c r="A97" s="186"/>
      <c r="B97" s="175"/>
      <c r="C97" s="176"/>
      <c r="D97" s="175"/>
      <c r="E97" s="176"/>
      <c r="F97" s="175"/>
      <c r="G97" s="176"/>
      <c r="H97" s="175"/>
      <c r="I97" s="176"/>
      <c r="J97" s="175"/>
      <c r="K97" s="176"/>
      <c r="L97" s="175"/>
      <c r="M97" s="176"/>
      <c r="N97" s="162"/>
      <c r="O97" s="163"/>
      <c r="P97" s="163"/>
      <c r="Q97" s="163"/>
      <c r="R97" s="163"/>
      <c r="S97" s="163"/>
      <c r="T97" s="163"/>
      <c r="U97" s="163"/>
      <c r="V97" s="163"/>
      <c r="W97" s="163"/>
    </row>
    <row r="98">
      <c r="A98" s="186"/>
      <c r="B98" s="175"/>
      <c r="C98" s="176"/>
      <c r="D98" s="175"/>
      <c r="E98" s="176"/>
      <c r="F98" s="175"/>
      <c r="G98" s="176"/>
      <c r="H98" s="175"/>
      <c r="I98" s="176"/>
      <c r="J98" s="175"/>
      <c r="K98" s="176"/>
      <c r="L98" s="175"/>
      <c r="M98" s="176"/>
      <c r="N98" s="162"/>
      <c r="O98" s="163"/>
      <c r="P98" s="163"/>
      <c r="Q98" s="163"/>
      <c r="R98" s="163"/>
      <c r="S98" s="163"/>
      <c r="T98" s="163"/>
      <c r="U98" s="163"/>
      <c r="V98" s="163"/>
      <c r="W98" s="163"/>
    </row>
    <row r="99">
      <c r="A99" s="186"/>
      <c r="B99" s="175"/>
      <c r="C99" s="176"/>
      <c r="D99" s="175"/>
      <c r="E99" s="176"/>
      <c r="F99" s="175"/>
      <c r="G99" s="176"/>
      <c r="H99" s="175"/>
      <c r="I99" s="176"/>
      <c r="J99" s="175"/>
      <c r="K99" s="176"/>
      <c r="L99" s="175"/>
      <c r="M99" s="176"/>
      <c r="N99" s="162"/>
      <c r="O99" s="163"/>
      <c r="P99" s="163"/>
      <c r="Q99" s="163"/>
      <c r="R99" s="163"/>
      <c r="S99" s="163"/>
      <c r="T99" s="163"/>
      <c r="U99" s="163"/>
      <c r="V99" s="163"/>
      <c r="W99" s="163"/>
    </row>
    <row r="100">
      <c r="A100" s="186"/>
      <c r="B100" s="175"/>
      <c r="C100" s="176"/>
      <c r="D100" s="175"/>
      <c r="E100" s="176"/>
      <c r="F100" s="175"/>
      <c r="G100" s="176"/>
      <c r="H100" s="175"/>
      <c r="I100" s="176"/>
      <c r="J100" s="175"/>
      <c r="K100" s="176"/>
      <c r="L100" s="175"/>
      <c r="M100" s="176"/>
      <c r="N100" s="162"/>
      <c r="O100" s="163"/>
      <c r="P100" s="163"/>
      <c r="Q100" s="163"/>
      <c r="R100" s="163"/>
      <c r="S100" s="163"/>
      <c r="T100" s="163"/>
      <c r="U100" s="163"/>
      <c r="V100" s="163"/>
      <c r="W100" s="163"/>
    </row>
    <row r="101">
      <c r="A101" s="186"/>
      <c r="B101" s="175"/>
      <c r="C101" s="176"/>
      <c r="D101" s="175"/>
      <c r="E101" s="176"/>
      <c r="F101" s="175"/>
      <c r="G101" s="176"/>
      <c r="H101" s="175"/>
      <c r="I101" s="176"/>
      <c r="J101" s="175"/>
      <c r="K101" s="176"/>
      <c r="L101" s="175"/>
      <c r="M101" s="176"/>
      <c r="N101" s="162"/>
      <c r="O101" s="163"/>
      <c r="P101" s="163"/>
      <c r="Q101" s="163"/>
      <c r="R101" s="163"/>
      <c r="S101" s="163"/>
      <c r="T101" s="163"/>
      <c r="U101" s="163"/>
      <c r="V101" s="163"/>
      <c r="W101" s="163"/>
    </row>
    <row r="102">
      <c r="A102" s="186"/>
      <c r="B102" s="175"/>
      <c r="C102" s="176"/>
      <c r="D102" s="175"/>
      <c r="E102" s="176"/>
      <c r="F102" s="175"/>
      <c r="G102" s="176"/>
      <c r="H102" s="175"/>
      <c r="I102" s="176"/>
      <c r="J102" s="175"/>
      <c r="K102" s="176"/>
      <c r="L102" s="175"/>
      <c r="M102" s="176"/>
      <c r="N102" s="162"/>
      <c r="O102" s="163"/>
      <c r="P102" s="163"/>
      <c r="Q102" s="163"/>
      <c r="R102" s="163"/>
      <c r="S102" s="163"/>
      <c r="T102" s="163"/>
      <c r="U102" s="163"/>
      <c r="V102" s="163"/>
      <c r="W102" s="163"/>
    </row>
    <row r="103">
      <c r="A103" s="186"/>
      <c r="B103" s="175"/>
      <c r="C103" s="176"/>
      <c r="D103" s="175"/>
      <c r="E103" s="176"/>
      <c r="F103" s="175"/>
      <c r="G103" s="176"/>
      <c r="H103" s="175"/>
      <c r="I103" s="176"/>
      <c r="J103" s="175"/>
      <c r="K103" s="176"/>
      <c r="L103" s="175"/>
      <c r="M103" s="176"/>
      <c r="N103" s="162"/>
      <c r="O103" s="163"/>
      <c r="P103" s="163"/>
      <c r="Q103" s="163"/>
      <c r="R103" s="163"/>
      <c r="S103" s="163"/>
      <c r="T103" s="163"/>
      <c r="U103" s="163"/>
      <c r="V103" s="163"/>
      <c r="W103" s="163"/>
    </row>
    <row r="104">
      <c r="A104" s="186"/>
      <c r="B104" s="175"/>
      <c r="C104" s="176"/>
      <c r="D104" s="175"/>
      <c r="E104" s="176"/>
      <c r="F104" s="175"/>
      <c r="G104" s="176"/>
      <c r="H104" s="175"/>
      <c r="I104" s="176"/>
      <c r="J104" s="175"/>
      <c r="K104" s="176"/>
      <c r="L104" s="175"/>
      <c r="M104" s="176"/>
      <c r="N104" s="162"/>
      <c r="O104" s="163"/>
      <c r="P104" s="163"/>
      <c r="Q104" s="163"/>
      <c r="R104" s="163"/>
      <c r="S104" s="163"/>
      <c r="T104" s="163"/>
      <c r="U104" s="163"/>
      <c r="V104" s="163"/>
      <c r="W104" s="163"/>
    </row>
    <row r="105">
      <c r="A105" s="186"/>
      <c r="B105" s="175"/>
      <c r="C105" s="176"/>
      <c r="D105" s="175"/>
      <c r="E105" s="176"/>
      <c r="F105" s="175"/>
      <c r="G105" s="176"/>
      <c r="H105" s="175"/>
      <c r="I105" s="176"/>
      <c r="J105" s="175"/>
      <c r="K105" s="176"/>
      <c r="L105" s="175"/>
      <c r="M105" s="176"/>
      <c r="N105" s="162"/>
      <c r="O105" s="163"/>
      <c r="P105" s="163"/>
      <c r="Q105" s="163"/>
      <c r="R105" s="163"/>
      <c r="S105" s="163"/>
      <c r="T105" s="163"/>
      <c r="U105" s="163"/>
      <c r="V105" s="163"/>
      <c r="W105" s="163"/>
    </row>
    <row r="106">
      <c r="A106" s="186"/>
      <c r="B106" s="175"/>
      <c r="C106" s="176"/>
      <c r="D106" s="175"/>
      <c r="E106" s="176"/>
      <c r="F106" s="175"/>
      <c r="G106" s="176"/>
      <c r="H106" s="175"/>
      <c r="I106" s="176"/>
      <c r="J106" s="175"/>
      <c r="K106" s="176"/>
      <c r="L106" s="175"/>
      <c r="M106" s="176"/>
      <c r="N106" s="162"/>
      <c r="O106" s="163"/>
      <c r="P106" s="163"/>
      <c r="Q106" s="163"/>
      <c r="R106" s="163"/>
      <c r="S106" s="163"/>
      <c r="T106" s="163"/>
      <c r="U106" s="163"/>
      <c r="V106" s="163"/>
      <c r="W106" s="163"/>
    </row>
    <row r="107">
      <c r="A107" s="186"/>
      <c r="B107" s="175"/>
      <c r="C107" s="176"/>
      <c r="D107" s="175"/>
      <c r="E107" s="176"/>
      <c r="F107" s="175"/>
      <c r="G107" s="176"/>
      <c r="H107" s="175"/>
      <c r="I107" s="176"/>
      <c r="J107" s="175"/>
      <c r="K107" s="176"/>
      <c r="L107" s="175"/>
      <c r="M107" s="176"/>
      <c r="N107" s="162"/>
      <c r="O107" s="163"/>
      <c r="P107" s="163"/>
      <c r="Q107" s="163"/>
      <c r="R107" s="163"/>
      <c r="S107" s="163"/>
      <c r="T107" s="163"/>
      <c r="U107" s="163"/>
      <c r="V107" s="163"/>
      <c r="W107" s="163"/>
    </row>
    <row r="108">
      <c r="A108" s="186"/>
      <c r="B108" s="175"/>
      <c r="C108" s="176"/>
      <c r="D108" s="175"/>
      <c r="E108" s="176"/>
      <c r="F108" s="175"/>
      <c r="G108" s="176"/>
      <c r="H108" s="175"/>
      <c r="I108" s="176"/>
      <c r="J108" s="175"/>
      <c r="K108" s="176"/>
      <c r="L108" s="175"/>
      <c r="M108" s="176"/>
      <c r="N108" s="162"/>
      <c r="O108" s="163"/>
      <c r="P108" s="163"/>
      <c r="Q108" s="163"/>
      <c r="R108" s="163"/>
      <c r="S108" s="163"/>
      <c r="T108" s="163"/>
      <c r="U108" s="163"/>
      <c r="V108" s="163"/>
      <c r="W108" s="163"/>
    </row>
    <row r="109">
      <c r="A109" s="186"/>
      <c r="B109" s="175"/>
      <c r="C109" s="176"/>
      <c r="D109" s="175"/>
      <c r="E109" s="176"/>
      <c r="F109" s="175"/>
      <c r="G109" s="176"/>
      <c r="H109" s="175"/>
      <c r="I109" s="176"/>
      <c r="J109" s="175"/>
      <c r="K109" s="176"/>
      <c r="L109" s="175"/>
      <c r="M109" s="176"/>
      <c r="N109" s="162"/>
      <c r="O109" s="163"/>
      <c r="P109" s="163"/>
      <c r="Q109" s="163"/>
      <c r="R109" s="163"/>
      <c r="S109" s="163"/>
      <c r="T109" s="163"/>
      <c r="U109" s="163"/>
      <c r="V109" s="163"/>
      <c r="W109" s="163"/>
    </row>
    <row r="110">
      <c r="A110" s="186"/>
      <c r="B110" s="175"/>
      <c r="C110" s="176"/>
      <c r="D110" s="175"/>
      <c r="E110" s="176"/>
      <c r="F110" s="175"/>
      <c r="G110" s="176"/>
      <c r="H110" s="175"/>
      <c r="I110" s="176"/>
      <c r="J110" s="175"/>
      <c r="K110" s="176"/>
      <c r="L110" s="175"/>
      <c r="M110" s="176"/>
      <c r="N110" s="162"/>
      <c r="O110" s="163"/>
      <c r="P110" s="163"/>
      <c r="Q110" s="163"/>
      <c r="R110" s="163"/>
      <c r="S110" s="163"/>
      <c r="T110" s="163"/>
      <c r="U110" s="163"/>
      <c r="V110" s="163"/>
      <c r="W110" s="163"/>
    </row>
    <row r="111">
      <c r="A111" s="186"/>
      <c r="B111" s="175"/>
      <c r="C111" s="176"/>
      <c r="D111" s="175"/>
      <c r="E111" s="176"/>
      <c r="F111" s="175"/>
      <c r="G111" s="176"/>
      <c r="H111" s="175"/>
      <c r="I111" s="176"/>
      <c r="J111" s="175"/>
      <c r="K111" s="176"/>
      <c r="L111" s="175"/>
      <c r="M111" s="176"/>
      <c r="N111" s="162"/>
      <c r="O111" s="163"/>
      <c r="P111" s="163"/>
      <c r="Q111" s="163"/>
      <c r="R111" s="163"/>
      <c r="S111" s="163"/>
      <c r="T111" s="163"/>
      <c r="U111" s="163"/>
      <c r="V111" s="163"/>
      <c r="W111" s="163"/>
    </row>
    <row r="112">
      <c r="A112" s="186"/>
      <c r="B112" s="175"/>
      <c r="C112" s="176"/>
      <c r="D112" s="175"/>
      <c r="E112" s="176"/>
      <c r="F112" s="175"/>
      <c r="G112" s="176"/>
      <c r="H112" s="175"/>
      <c r="I112" s="176"/>
      <c r="J112" s="175"/>
      <c r="K112" s="176"/>
      <c r="L112" s="175"/>
      <c r="M112" s="176"/>
      <c r="N112" s="162"/>
      <c r="O112" s="163"/>
      <c r="P112" s="163"/>
      <c r="Q112" s="163"/>
      <c r="R112" s="163"/>
      <c r="S112" s="163"/>
      <c r="T112" s="163"/>
      <c r="U112" s="163"/>
      <c r="V112" s="163"/>
      <c r="W112" s="163"/>
    </row>
    <row r="113">
      <c r="A113" s="186"/>
      <c r="B113" s="175"/>
      <c r="C113" s="176"/>
      <c r="D113" s="175"/>
      <c r="E113" s="176"/>
      <c r="F113" s="175"/>
      <c r="G113" s="176"/>
      <c r="H113" s="175"/>
      <c r="I113" s="176"/>
      <c r="J113" s="175"/>
      <c r="K113" s="176"/>
      <c r="L113" s="175"/>
      <c r="M113" s="176"/>
      <c r="N113" s="162"/>
      <c r="O113" s="163"/>
      <c r="P113" s="163"/>
      <c r="Q113" s="163"/>
      <c r="R113" s="163"/>
      <c r="S113" s="163"/>
      <c r="T113" s="163"/>
      <c r="U113" s="163"/>
      <c r="V113" s="163"/>
      <c r="W113" s="163"/>
    </row>
    <row r="114">
      <c r="A114" s="186"/>
      <c r="B114" s="175"/>
      <c r="C114" s="176"/>
      <c r="D114" s="175"/>
      <c r="E114" s="176"/>
      <c r="F114" s="175"/>
      <c r="G114" s="176"/>
      <c r="H114" s="175"/>
      <c r="I114" s="176"/>
      <c r="J114" s="175"/>
      <c r="K114" s="176"/>
      <c r="L114" s="175"/>
      <c r="M114" s="176"/>
      <c r="N114" s="162"/>
      <c r="O114" s="163"/>
      <c r="P114" s="163"/>
      <c r="Q114" s="163"/>
      <c r="R114" s="163"/>
      <c r="S114" s="163"/>
      <c r="T114" s="163"/>
      <c r="U114" s="163"/>
      <c r="V114" s="163"/>
      <c r="W114" s="163"/>
    </row>
    <row r="115">
      <c r="A115" s="186"/>
      <c r="B115" s="175"/>
      <c r="C115" s="176"/>
      <c r="D115" s="175"/>
      <c r="E115" s="176"/>
      <c r="F115" s="175"/>
      <c r="G115" s="176"/>
      <c r="H115" s="175"/>
      <c r="I115" s="176"/>
      <c r="J115" s="175"/>
      <c r="K115" s="176"/>
      <c r="L115" s="175"/>
      <c r="M115" s="176"/>
      <c r="N115" s="162"/>
      <c r="O115" s="163"/>
      <c r="P115" s="163"/>
      <c r="Q115" s="163"/>
      <c r="R115" s="163"/>
      <c r="S115" s="163"/>
      <c r="T115" s="163"/>
      <c r="U115" s="163"/>
      <c r="V115" s="163"/>
      <c r="W115" s="163"/>
    </row>
    <row r="116">
      <c r="A116" s="186"/>
      <c r="B116" s="175"/>
      <c r="C116" s="176"/>
      <c r="D116" s="175"/>
      <c r="E116" s="176"/>
      <c r="F116" s="175"/>
      <c r="G116" s="176"/>
      <c r="H116" s="175"/>
      <c r="I116" s="176"/>
      <c r="J116" s="175"/>
      <c r="K116" s="176"/>
      <c r="L116" s="175"/>
      <c r="M116" s="176"/>
      <c r="N116" s="162"/>
      <c r="O116" s="163"/>
      <c r="P116" s="163"/>
      <c r="Q116" s="163"/>
      <c r="R116" s="163"/>
      <c r="S116" s="163"/>
      <c r="T116" s="163"/>
      <c r="U116" s="163"/>
      <c r="V116" s="163"/>
      <c r="W116" s="163"/>
    </row>
    <row r="117">
      <c r="A117" s="186"/>
      <c r="B117" s="175"/>
      <c r="C117" s="176"/>
      <c r="D117" s="175"/>
      <c r="E117" s="176"/>
      <c r="F117" s="175"/>
      <c r="G117" s="176"/>
      <c r="H117" s="175"/>
      <c r="I117" s="176"/>
      <c r="J117" s="175"/>
      <c r="K117" s="176"/>
      <c r="L117" s="175"/>
      <c r="M117" s="176"/>
      <c r="N117" s="162"/>
      <c r="O117" s="163"/>
      <c r="P117" s="163"/>
      <c r="Q117" s="163"/>
      <c r="R117" s="163"/>
      <c r="S117" s="163"/>
      <c r="T117" s="163"/>
      <c r="U117" s="163"/>
      <c r="V117" s="163"/>
      <c r="W117" s="163"/>
    </row>
    <row r="118">
      <c r="A118" s="186"/>
      <c r="B118" s="175"/>
      <c r="C118" s="176"/>
      <c r="D118" s="175"/>
      <c r="E118" s="176"/>
      <c r="F118" s="175"/>
      <c r="G118" s="176"/>
      <c r="H118" s="175"/>
      <c r="I118" s="176"/>
      <c r="J118" s="175"/>
      <c r="K118" s="176"/>
      <c r="L118" s="175"/>
      <c r="M118" s="176"/>
      <c r="N118" s="162"/>
      <c r="O118" s="163"/>
      <c r="P118" s="163"/>
      <c r="Q118" s="163"/>
      <c r="R118" s="163"/>
      <c r="S118" s="163"/>
      <c r="T118" s="163"/>
      <c r="U118" s="163"/>
      <c r="V118" s="163"/>
      <c r="W118" s="163"/>
    </row>
    <row r="119">
      <c r="A119" s="186"/>
      <c r="B119" s="175"/>
      <c r="C119" s="176"/>
      <c r="D119" s="175"/>
      <c r="E119" s="176"/>
      <c r="F119" s="175"/>
      <c r="G119" s="176"/>
      <c r="H119" s="175"/>
      <c r="I119" s="176"/>
      <c r="J119" s="175"/>
      <c r="K119" s="176"/>
      <c r="L119" s="175"/>
      <c r="M119" s="176"/>
      <c r="N119" s="162"/>
      <c r="O119" s="163"/>
      <c r="P119" s="163"/>
      <c r="Q119" s="163"/>
      <c r="R119" s="163"/>
      <c r="S119" s="163"/>
      <c r="T119" s="163"/>
      <c r="U119" s="163"/>
      <c r="V119" s="163"/>
      <c r="W119" s="163"/>
    </row>
    <row r="120">
      <c r="A120" s="186"/>
      <c r="B120" s="175"/>
      <c r="C120" s="176"/>
      <c r="D120" s="175"/>
      <c r="E120" s="176"/>
      <c r="F120" s="175"/>
      <c r="G120" s="176"/>
      <c r="H120" s="175"/>
      <c r="I120" s="176"/>
      <c r="J120" s="175"/>
      <c r="K120" s="176"/>
      <c r="L120" s="175"/>
      <c r="M120" s="176"/>
      <c r="N120" s="162"/>
      <c r="O120" s="163"/>
      <c r="P120" s="163"/>
      <c r="Q120" s="163"/>
      <c r="R120" s="163"/>
      <c r="S120" s="163"/>
      <c r="T120" s="163"/>
      <c r="U120" s="163"/>
      <c r="V120" s="163"/>
      <c r="W120" s="163"/>
    </row>
    <row r="121">
      <c r="A121" s="186"/>
      <c r="B121" s="175"/>
      <c r="C121" s="176"/>
      <c r="D121" s="175"/>
      <c r="E121" s="176"/>
      <c r="F121" s="175"/>
      <c r="G121" s="176"/>
      <c r="H121" s="175"/>
      <c r="I121" s="176"/>
      <c r="J121" s="175"/>
      <c r="K121" s="176"/>
      <c r="L121" s="175"/>
      <c r="M121" s="176"/>
      <c r="N121" s="162"/>
      <c r="O121" s="163"/>
      <c r="P121" s="163"/>
      <c r="Q121" s="163"/>
      <c r="R121" s="163"/>
      <c r="S121" s="163"/>
      <c r="T121" s="163"/>
      <c r="U121" s="163"/>
      <c r="V121" s="163"/>
      <c r="W121" s="163"/>
    </row>
    <row r="122">
      <c r="A122" s="186"/>
      <c r="B122" s="175"/>
      <c r="C122" s="176"/>
      <c r="D122" s="175"/>
      <c r="E122" s="176"/>
      <c r="F122" s="175"/>
      <c r="G122" s="176"/>
      <c r="H122" s="175"/>
      <c r="I122" s="176"/>
      <c r="J122" s="175"/>
      <c r="K122" s="176"/>
      <c r="L122" s="175"/>
      <c r="M122" s="176"/>
      <c r="N122" s="162"/>
      <c r="O122" s="163"/>
      <c r="P122" s="163"/>
      <c r="Q122" s="163"/>
      <c r="R122" s="163"/>
      <c r="S122" s="163"/>
      <c r="T122" s="163"/>
      <c r="U122" s="163"/>
      <c r="V122" s="163"/>
      <c r="W122" s="163"/>
    </row>
    <row r="123">
      <c r="A123" s="186"/>
      <c r="B123" s="175"/>
      <c r="C123" s="176"/>
      <c r="D123" s="175"/>
      <c r="E123" s="176"/>
      <c r="F123" s="175"/>
      <c r="G123" s="176"/>
      <c r="H123" s="175"/>
      <c r="I123" s="176"/>
      <c r="J123" s="175"/>
      <c r="K123" s="176"/>
      <c r="L123" s="175"/>
      <c r="M123" s="176"/>
      <c r="N123" s="162"/>
      <c r="O123" s="163"/>
      <c r="P123" s="163"/>
      <c r="Q123" s="163"/>
      <c r="R123" s="163"/>
      <c r="S123" s="163"/>
      <c r="T123" s="163"/>
      <c r="U123" s="163"/>
      <c r="V123" s="163"/>
      <c r="W123" s="163"/>
    </row>
    <row r="124">
      <c r="A124" s="186"/>
      <c r="B124" s="175"/>
      <c r="C124" s="176"/>
      <c r="D124" s="175"/>
      <c r="E124" s="176"/>
      <c r="F124" s="175"/>
      <c r="G124" s="176"/>
      <c r="H124" s="175"/>
      <c r="I124" s="176"/>
      <c r="J124" s="175"/>
      <c r="K124" s="176"/>
      <c r="L124" s="175"/>
      <c r="M124" s="176"/>
      <c r="N124" s="162"/>
      <c r="O124" s="163"/>
      <c r="P124" s="163"/>
      <c r="Q124" s="163"/>
      <c r="R124" s="163"/>
      <c r="S124" s="163"/>
      <c r="T124" s="163"/>
      <c r="U124" s="163"/>
      <c r="V124" s="163"/>
      <c r="W124" s="163"/>
    </row>
    <row r="125">
      <c r="A125" s="186"/>
      <c r="B125" s="175"/>
      <c r="C125" s="176"/>
      <c r="D125" s="175"/>
      <c r="E125" s="176"/>
      <c r="F125" s="175"/>
      <c r="G125" s="176"/>
      <c r="H125" s="175"/>
      <c r="I125" s="176"/>
      <c r="J125" s="175"/>
      <c r="K125" s="176"/>
      <c r="L125" s="175"/>
      <c r="M125" s="176"/>
      <c r="N125" s="162"/>
      <c r="O125" s="163"/>
      <c r="P125" s="163"/>
      <c r="Q125" s="163"/>
      <c r="R125" s="163"/>
      <c r="S125" s="163"/>
      <c r="T125" s="163"/>
      <c r="U125" s="163"/>
      <c r="V125" s="163"/>
      <c r="W125" s="163"/>
    </row>
    <row r="126">
      <c r="A126" s="186"/>
      <c r="B126" s="175"/>
      <c r="C126" s="176"/>
      <c r="D126" s="175"/>
      <c r="E126" s="176"/>
      <c r="F126" s="175"/>
      <c r="G126" s="176"/>
      <c r="H126" s="175"/>
      <c r="I126" s="176"/>
      <c r="J126" s="175"/>
      <c r="K126" s="176"/>
      <c r="L126" s="175"/>
      <c r="M126" s="176"/>
      <c r="N126" s="162"/>
      <c r="O126" s="163"/>
      <c r="P126" s="163"/>
      <c r="Q126" s="163"/>
      <c r="R126" s="163"/>
      <c r="S126" s="163"/>
      <c r="T126" s="163"/>
      <c r="U126" s="163"/>
      <c r="V126" s="163"/>
      <c r="W126" s="163"/>
    </row>
    <row r="127">
      <c r="A127" s="186"/>
      <c r="B127" s="175"/>
      <c r="C127" s="176"/>
      <c r="D127" s="175"/>
      <c r="E127" s="176"/>
      <c r="F127" s="175"/>
      <c r="G127" s="176"/>
      <c r="H127" s="175"/>
      <c r="I127" s="176"/>
      <c r="J127" s="175"/>
      <c r="K127" s="176"/>
      <c r="L127" s="175"/>
      <c r="M127" s="176"/>
      <c r="N127" s="162"/>
      <c r="O127" s="163"/>
      <c r="P127" s="163"/>
      <c r="Q127" s="163"/>
      <c r="R127" s="163"/>
      <c r="S127" s="163"/>
      <c r="T127" s="163"/>
      <c r="U127" s="163"/>
      <c r="V127" s="163"/>
      <c r="W127" s="163"/>
    </row>
    <row r="128">
      <c r="A128" s="186"/>
      <c r="B128" s="175"/>
      <c r="C128" s="176"/>
      <c r="D128" s="175"/>
      <c r="E128" s="176"/>
      <c r="F128" s="175"/>
      <c r="G128" s="176"/>
      <c r="H128" s="175"/>
      <c r="I128" s="176"/>
      <c r="J128" s="175"/>
      <c r="K128" s="176"/>
      <c r="L128" s="175"/>
      <c r="M128" s="176"/>
      <c r="N128" s="162"/>
      <c r="O128" s="163"/>
      <c r="P128" s="163"/>
      <c r="Q128" s="163"/>
      <c r="R128" s="163"/>
      <c r="S128" s="163"/>
      <c r="T128" s="163"/>
      <c r="U128" s="163"/>
      <c r="V128" s="163"/>
      <c r="W128" s="163"/>
    </row>
    <row r="129">
      <c r="A129" s="186"/>
      <c r="B129" s="175"/>
      <c r="C129" s="176"/>
      <c r="D129" s="175"/>
      <c r="E129" s="176"/>
      <c r="F129" s="175"/>
      <c r="G129" s="176"/>
      <c r="H129" s="175"/>
      <c r="I129" s="176"/>
      <c r="J129" s="175"/>
      <c r="K129" s="176"/>
      <c r="L129" s="175"/>
      <c r="M129" s="176"/>
      <c r="N129" s="162"/>
      <c r="O129" s="163"/>
      <c r="P129" s="163"/>
      <c r="Q129" s="163"/>
      <c r="R129" s="163"/>
      <c r="S129" s="163"/>
      <c r="T129" s="163"/>
      <c r="U129" s="163"/>
      <c r="V129" s="163"/>
      <c r="W129" s="163"/>
    </row>
    <row r="130">
      <c r="A130" s="186"/>
      <c r="B130" s="175"/>
      <c r="C130" s="176"/>
      <c r="D130" s="175"/>
      <c r="E130" s="176"/>
      <c r="F130" s="175"/>
      <c r="G130" s="176"/>
      <c r="H130" s="175"/>
      <c r="I130" s="176"/>
      <c r="J130" s="175"/>
      <c r="K130" s="176"/>
      <c r="L130" s="175"/>
      <c r="M130" s="176"/>
      <c r="N130" s="162"/>
      <c r="O130" s="163"/>
      <c r="P130" s="163"/>
      <c r="Q130" s="163"/>
      <c r="R130" s="163"/>
      <c r="S130" s="163"/>
      <c r="T130" s="163"/>
      <c r="U130" s="163"/>
      <c r="V130" s="163"/>
      <c r="W130" s="163"/>
    </row>
    <row r="131">
      <c r="A131" s="186"/>
      <c r="B131" s="175"/>
      <c r="C131" s="176"/>
      <c r="D131" s="175"/>
      <c r="E131" s="176"/>
      <c r="F131" s="175"/>
      <c r="G131" s="176"/>
      <c r="H131" s="175"/>
      <c r="I131" s="176"/>
      <c r="J131" s="175"/>
      <c r="K131" s="176"/>
      <c r="L131" s="175"/>
      <c r="M131" s="176"/>
      <c r="N131" s="162"/>
      <c r="O131" s="163"/>
      <c r="P131" s="163"/>
      <c r="Q131" s="163"/>
      <c r="R131" s="163"/>
      <c r="S131" s="163"/>
      <c r="T131" s="163"/>
      <c r="U131" s="163"/>
      <c r="V131" s="163"/>
      <c r="W131" s="163"/>
    </row>
    <row r="132">
      <c r="A132" s="186"/>
      <c r="B132" s="175"/>
      <c r="C132" s="176"/>
      <c r="D132" s="175"/>
      <c r="E132" s="176"/>
      <c r="F132" s="175"/>
      <c r="G132" s="176"/>
      <c r="H132" s="175"/>
      <c r="I132" s="176"/>
      <c r="J132" s="175"/>
      <c r="K132" s="176"/>
      <c r="L132" s="175"/>
      <c r="M132" s="176"/>
      <c r="N132" s="162"/>
      <c r="O132" s="163"/>
      <c r="P132" s="163"/>
      <c r="Q132" s="163"/>
      <c r="R132" s="163"/>
      <c r="S132" s="163"/>
      <c r="T132" s="163"/>
      <c r="U132" s="163"/>
      <c r="V132" s="163"/>
      <c r="W132" s="163"/>
    </row>
    <row r="133">
      <c r="A133" s="186"/>
      <c r="B133" s="175"/>
      <c r="C133" s="176"/>
      <c r="D133" s="175"/>
      <c r="E133" s="176"/>
      <c r="F133" s="175"/>
      <c r="G133" s="176"/>
      <c r="H133" s="175"/>
      <c r="I133" s="176"/>
      <c r="J133" s="175"/>
      <c r="K133" s="176"/>
      <c r="L133" s="175"/>
      <c r="M133" s="176"/>
      <c r="N133" s="162"/>
      <c r="O133" s="163"/>
      <c r="P133" s="163"/>
      <c r="Q133" s="163"/>
      <c r="R133" s="163"/>
      <c r="S133" s="163"/>
      <c r="T133" s="163"/>
      <c r="U133" s="163"/>
      <c r="V133" s="163"/>
      <c r="W133" s="163"/>
    </row>
    <row r="134">
      <c r="A134" s="186"/>
      <c r="B134" s="175"/>
      <c r="C134" s="176"/>
      <c r="D134" s="175"/>
      <c r="E134" s="176"/>
      <c r="F134" s="175"/>
      <c r="G134" s="176"/>
      <c r="H134" s="175"/>
      <c r="I134" s="176"/>
      <c r="J134" s="175"/>
      <c r="K134" s="176"/>
      <c r="L134" s="175"/>
      <c r="M134" s="176"/>
      <c r="N134" s="162"/>
      <c r="O134" s="163"/>
      <c r="P134" s="163"/>
      <c r="Q134" s="163"/>
      <c r="R134" s="163"/>
      <c r="S134" s="163"/>
      <c r="T134" s="163"/>
      <c r="U134" s="163"/>
      <c r="V134" s="163"/>
      <c r="W134" s="163"/>
    </row>
    <row r="135">
      <c r="A135" s="186"/>
      <c r="B135" s="175"/>
      <c r="C135" s="176"/>
      <c r="D135" s="175"/>
      <c r="E135" s="176"/>
      <c r="F135" s="175"/>
      <c r="G135" s="176"/>
      <c r="H135" s="175"/>
      <c r="I135" s="176"/>
      <c r="J135" s="175"/>
      <c r="K135" s="176"/>
      <c r="L135" s="175"/>
      <c r="M135" s="176"/>
      <c r="N135" s="162"/>
      <c r="O135" s="163"/>
      <c r="P135" s="163"/>
      <c r="Q135" s="163"/>
      <c r="R135" s="163"/>
      <c r="S135" s="163"/>
      <c r="T135" s="163"/>
      <c r="U135" s="163"/>
      <c r="V135" s="163"/>
      <c r="W135" s="163"/>
    </row>
    <row r="136">
      <c r="A136" s="186"/>
      <c r="B136" s="175"/>
      <c r="C136" s="176"/>
      <c r="D136" s="175"/>
      <c r="E136" s="176"/>
      <c r="F136" s="175"/>
      <c r="G136" s="176"/>
      <c r="H136" s="175"/>
      <c r="I136" s="176"/>
      <c r="J136" s="175"/>
      <c r="K136" s="176"/>
      <c r="L136" s="175"/>
      <c r="M136" s="176"/>
      <c r="N136" s="162"/>
      <c r="O136" s="163"/>
      <c r="P136" s="163"/>
      <c r="Q136" s="163"/>
      <c r="R136" s="163"/>
      <c r="S136" s="163"/>
      <c r="T136" s="163"/>
      <c r="U136" s="163"/>
      <c r="V136" s="163"/>
      <c r="W136" s="163"/>
    </row>
    <row r="137">
      <c r="A137" s="186"/>
      <c r="B137" s="175"/>
      <c r="C137" s="176"/>
      <c r="D137" s="175"/>
      <c r="E137" s="176"/>
      <c r="F137" s="175"/>
      <c r="G137" s="176"/>
      <c r="H137" s="175"/>
      <c r="I137" s="176"/>
      <c r="J137" s="175"/>
      <c r="K137" s="176"/>
      <c r="L137" s="175"/>
      <c r="M137" s="176"/>
      <c r="N137" s="162"/>
      <c r="O137" s="163"/>
      <c r="P137" s="163"/>
      <c r="Q137" s="163"/>
      <c r="R137" s="163"/>
      <c r="S137" s="163"/>
      <c r="T137" s="163"/>
      <c r="U137" s="163"/>
      <c r="V137" s="163"/>
      <c r="W137" s="163"/>
    </row>
    <row r="138">
      <c r="A138" s="186"/>
      <c r="B138" s="175"/>
      <c r="C138" s="176"/>
      <c r="D138" s="175"/>
      <c r="E138" s="176"/>
      <c r="F138" s="175"/>
      <c r="G138" s="176"/>
      <c r="H138" s="175"/>
      <c r="I138" s="176"/>
      <c r="J138" s="175"/>
      <c r="K138" s="176"/>
      <c r="L138" s="175"/>
      <c r="M138" s="176"/>
      <c r="N138" s="162"/>
      <c r="O138" s="163"/>
      <c r="P138" s="163"/>
      <c r="Q138" s="163"/>
      <c r="R138" s="163"/>
      <c r="S138" s="163"/>
      <c r="T138" s="163"/>
      <c r="U138" s="163"/>
      <c r="V138" s="163"/>
      <c r="W138" s="163"/>
    </row>
    <row r="139">
      <c r="A139" s="186"/>
      <c r="B139" s="175"/>
      <c r="C139" s="176"/>
      <c r="D139" s="175"/>
      <c r="E139" s="176"/>
      <c r="F139" s="175"/>
      <c r="G139" s="176"/>
      <c r="H139" s="175"/>
      <c r="I139" s="176"/>
      <c r="J139" s="175"/>
      <c r="K139" s="176"/>
      <c r="L139" s="175"/>
      <c r="M139" s="176"/>
      <c r="N139" s="162"/>
      <c r="O139" s="163"/>
      <c r="P139" s="163"/>
      <c r="Q139" s="163"/>
      <c r="R139" s="163"/>
      <c r="S139" s="163"/>
      <c r="T139" s="163"/>
      <c r="U139" s="163"/>
      <c r="V139" s="163"/>
      <c r="W139" s="163"/>
    </row>
    <row r="140">
      <c r="A140" s="186"/>
      <c r="B140" s="175"/>
      <c r="C140" s="176"/>
      <c r="D140" s="175"/>
      <c r="E140" s="176"/>
      <c r="F140" s="175"/>
      <c r="G140" s="176"/>
      <c r="H140" s="175"/>
      <c r="I140" s="176"/>
      <c r="J140" s="175"/>
      <c r="K140" s="176"/>
      <c r="L140" s="175"/>
      <c r="M140" s="176"/>
      <c r="N140" s="162"/>
      <c r="O140" s="163"/>
      <c r="P140" s="163"/>
      <c r="Q140" s="163"/>
      <c r="R140" s="163"/>
      <c r="S140" s="163"/>
      <c r="T140" s="163"/>
      <c r="U140" s="163"/>
      <c r="V140" s="163"/>
      <c r="W140" s="163"/>
    </row>
    <row r="141">
      <c r="A141" s="186"/>
      <c r="B141" s="175"/>
      <c r="C141" s="176"/>
      <c r="D141" s="175"/>
      <c r="E141" s="176"/>
      <c r="F141" s="175"/>
      <c r="G141" s="176"/>
      <c r="H141" s="175"/>
      <c r="I141" s="176"/>
      <c r="J141" s="175"/>
      <c r="K141" s="176"/>
      <c r="L141" s="175"/>
      <c r="M141" s="176"/>
      <c r="N141" s="162"/>
      <c r="O141" s="163"/>
      <c r="P141" s="163"/>
      <c r="Q141" s="163"/>
      <c r="R141" s="163"/>
      <c r="S141" s="163"/>
      <c r="T141" s="163"/>
      <c r="U141" s="163"/>
      <c r="V141" s="163"/>
      <c r="W141" s="163"/>
    </row>
    <row r="142">
      <c r="A142" s="186"/>
      <c r="B142" s="175"/>
      <c r="C142" s="176"/>
      <c r="D142" s="175"/>
      <c r="E142" s="176"/>
      <c r="F142" s="175"/>
      <c r="G142" s="176"/>
      <c r="H142" s="175"/>
      <c r="I142" s="176"/>
      <c r="J142" s="175"/>
      <c r="K142" s="176"/>
      <c r="L142" s="175"/>
      <c r="M142" s="176"/>
      <c r="N142" s="162"/>
      <c r="O142" s="163"/>
      <c r="P142" s="163"/>
      <c r="Q142" s="163"/>
      <c r="R142" s="163"/>
      <c r="S142" s="163"/>
      <c r="T142" s="163"/>
      <c r="U142" s="163"/>
      <c r="V142" s="163"/>
      <c r="W142" s="163"/>
    </row>
    <row r="143">
      <c r="A143" s="186"/>
      <c r="B143" s="175"/>
      <c r="C143" s="176"/>
      <c r="D143" s="175"/>
      <c r="E143" s="176"/>
      <c r="F143" s="175"/>
      <c r="G143" s="176"/>
      <c r="H143" s="175"/>
      <c r="I143" s="176"/>
      <c r="J143" s="175"/>
      <c r="K143" s="176"/>
      <c r="L143" s="175"/>
      <c r="M143" s="176"/>
      <c r="N143" s="162"/>
      <c r="O143" s="163"/>
      <c r="P143" s="163"/>
      <c r="Q143" s="163"/>
      <c r="R143" s="163"/>
      <c r="S143" s="163"/>
      <c r="T143" s="163"/>
      <c r="U143" s="163"/>
      <c r="V143" s="163"/>
      <c r="W143" s="163"/>
    </row>
    <row r="144">
      <c r="A144" s="186"/>
      <c r="B144" s="175"/>
      <c r="C144" s="176"/>
      <c r="D144" s="175"/>
      <c r="E144" s="176"/>
      <c r="F144" s="175"/>
      <c r="G144" s="176"/>
      <c r="H144" s="175"/>
      <c r="I144" s="176"/>
      <c r="J144" s="175"/>
      <c r="K144" s="176"/>
      <c r="L144" s="175"/>
      <c r="M144" s="176"/>
      <c r="N144" s="162"/>
      <c r="O144" s="163"/>
      <c r="P144" s="163"/>
      <c r="Q144" s="163"/>
      <c r="R144" s="163"/>
      <c r="S144" s="163"/>
      <c r="T144" s="163"/>
      <c r="U144" s="163"/>
      <c r="V144" s="163"/>
      <c r="W144" s="163"/>
    </row>
    <row r="145">
      <c r="A145" s="186"/>
      <c r="B145" s="175"/>
      <c r="C145" s="176"/>
      <c r="D145" s="175"/>
      <c r="E145" s="176"/>
      <c r="F145" s="175"/>
      <c r="G145" s="176"/>
      <c r="H145" s="175"/>
      <c r="I145" s="176"/>
      <c r="J145" s="175"/>
      <c r="K145" s="176"/>
      <c r="L145" s="175"/>
      <c r="M145" s="176"/>
      <c r="N145" s="162"/>
      <c r="O145" s="163"/>
      <c r="P145" s="163"/>
      <c r="Q145" s="163"/>
      <c r="R145" s="163"/>
      <c r="S145" s="163"/>
      <c r="T145" s="163"/>
      <c r="U145" s="163"/>
      <c r="V145" s="163"/>
      <c r="W145" s="163"/>
    </row>
    <row r="146">
      <c r="A146" s="186"/>
      <c r="B146" s="175"/>
      <c r="C146" s="176"/>
      <c r="D146" s="175"/>
      <c r="E146" s="176"/>
      <c r="F146" s="175"/>
      <c r="G146" s="176"/>
      <c r="H146" s="175"/>
      <c r="I146" s="176"/>
      <c r="J146" s="175"/>
      <c r="K146" s="176"/>
      <c r="L146" s="175"/>
      <c r="M146" s="176"/>
      <c r="N146" s="162"/>
      <c r="O146" s="163"/>
      <c r="P146" s="163"/>
      <c r="Q146" s="163"/>
      <c r="R146" s="163"/>
      <c r="S146" s="163"/>
      <c r="T146" s="163"/>
      <c r="U146" s="163"/>
      <c r="V146" s="163"/>
      <c r="W146" s="163"/>
    </row>
    <row r="147">
      <c r="A147" s="186"/>
      <c r="B147" s="175"/>
      <c r="C147" s="176"/>
      <c r="D147" s="175"/>
      <c r="E147" s="176"/>
      <c r="F147" s="175"/>
      <c r="G147" s="176"/>
      <c r="H147" s="175"/>
      <c r="I147" s="176"/>
      <c r="J147" s="175"/>
      <c r="K147" s="176"/>
      <c r="L147" s="175"/>
      <c r="M147" s="176"/>
      <c r="N147" s="162"/>
      <c r="O147" s="163"/>
      <c r="P147" s="163"/>
      <c r="Q147" s="163"/>
      <c r="R147" s="163"/>
      <c r="S147" s="163"/>
      <c r="T147" s="163"/>
      <c r="U147" s="163"/>
      <c r="V147" s="163"/>
      <c r="W147" s="163"/>
    </row>
    <row r="148">
      <c r="A148" s="186"/>
      <c r="B148" s="175"/>
      <c r="C148" s="176"/>
      <c r="D148" s="175"/>
      <c r="E148" s="176"/>
      <c r="F148" s="175"/>
      <c r="G148" s="176"/>
      <c r="H148" s="175"/>
      <c r="I148" s="176"/>
      <c r="J148" s="175"/>
      <c r="K148" s="176"/>
      <c r="L148" s="175"/>
      <c r="M148" s="176"/>
      <c r="N148" s="162"/>
      <c r="O148" s="163"/>
      <c r="P148" s="163"/>
      <c r="Q148" s="163"/>
      <c r="R148" s="163"/>
      <c r="S148" s="163"/>
      <c r="T148" s="163"/>
      <c r="U148" s="163"/>
      <c r="V148" s="163"/>
      <c r="W148" s="163"/>
    </row>
    <row r="149">
      <c r="A149" s="186"/>
      <c r="B149" s="175"/>
      <c r="C149" s="176"/>
      <c r="D149" s="175"/>
      <c r="E149" s="176"/>
      <c r="F149" s="175"/>
      <c r="G149" s="176"/>
      <c r="H149" s="175"/>
      <c r="I149" s="176"/>
      <c r="J149" s="175"/>
      <c r="K149" s="176"/>
      <c r="L149" s="175"/>
      <c r="M149" s="176"/>
      <c r="N149" s="162"/>
      <c r="O149" s="163"/>
      <c r="P149" s="163"/>
      <c r="Q149" s="163"/>
      <c r="R149" s="163"/>
      <c r="S149" s="163"/>
      <c r="T149" s="163"/>
      <c r="U149" s="163"/>
      <c r="V149" s="163"/>
      <c r="W149" s="163"/>
    </row>
    <row r="150">
      <c r="A150" s="186"/>
      <c r="B150" s="175"/>
      <c r="C150" s="176"/>
      <c r="D150" s="175"/>
      <c r="E150" s="176"/>
      <c r="F150" s="175"/>
      <c r="G150" s="176"/>
      <c r="H150" s="175"/>
      <c r="I150" s="176"/>
      <c r="J150" s="175"/>
      <c r="K150" s="176"/>
      <c r="L150" s="175"/>
      <c r="M150" s="176"/>
      <c r="N150" s="162"/>
      <c r="O150" s="163"/>
      <c r="P150" s="163"/>
      <c r="Q150" s="163"/>
      <c r="R150" s="163"/>
      <c r="S150" s="163"/>
      <c r="T150" s="163"/>
      <c r="U150" s="163"/>
      <c r="V150" s="163"/>
      <c r="W150" s="163"/>
    </row>
    <row r="151">
      <c r="A151" s="186"/>
      <c r="B151" s="175"/>
      <c r="C151" s="176"/>
      <c r="D151" s="175"/>
      <c r="E151" s="176"/>
      <c r="F151" s="175"/>
      <c r="G151" s="176"/>
      <c r="H151" s="175"/>
      <c r="I151" s="176"/>
      <c r="J151" s="175"/>
      <c r="K151" s="176"/>
      <c r="L151" s="175"/>
      <c r="M151" s="176"/>
      <c r="N151" s="162"/>
      <c r="O151" s="163"/>
      <c r="P151" s="163"/>
      <c r="Q151" s="163"/>
      <c r="R151" s="163"/>
      <c r="S151" s="163"/>
      <c r="T151" s="163"/>
      <c r="U151" s="163"/>
      <c r="V151" s="163"/>
      <c r="W151" s="163"/>
    </row>
    <row r="152">
      <c r="A152" s="186"/>
      <c r="B152" s="175"/>
      <c r="C152" s="176"/>
      <c r="D152" s="175"/>
      <c r="E152" s="176"/>
      <c r="F152" s="175"/>
      <c r="G152" s="176"/>
      <c r="H152" s="175"/>
      <c r="I152" s="176"/>
      <c r="J152" s="175"/>
      <c r="K152" s="176"/>
      <c r="L152" s="175"/>
      <c r="M152" s="176"/>
      <c r="N152" s="162"/>
      <c r="O152" s="163"/>
      <c r="P152" s="163"/>
      <c r="Q152" s="163"/>
      <c r="R152" s="163"/>
      <c r="S152" s="163"/>
      <c r="T152" s="163"/>
      <c r="U152" s="163"/>
      <c r="V152" s="163"/>
      <c r="W152" s="163"/>
    </row>
    <row r="153">
      <c r="A153" s="186"/>
      <c r="B153" s="175"/>
      <c r="C153" s="176"/>
      <c r="D153" s="175"/>
      <c r="E153" s="176"/>
      <c r="F153" s="175"/>
      <c r="G153" s="176"/>
      <c r="H153" s="175"/>
      <c r="I153" s="176"/>
      <c r="J153" s="175"/>
      <c r="K153" s="176"/>
      <c r="L153" s="175"/>
      <c r="M153" s="176"/>
      <c r="N153" s="162"/>
      <c r="O153" s="163"/>
      <c r="P153" s="163"/>
      <c r="Q153" s="163"/>
      <c r="R153" s="163"/>
      <c r="S153" s="163"/>
      <c r="T153" s="163"/>
      <c r="U153" s="163"/>
      <c r="V153" s="163"/>
      <c r="W153" s="163"/>
    </row>
    <row r="154">
      <c r="A154" s="186"/>
      <c r="B154" s="175"/>
      <c r="C154" s="176"/>
      <c r="D154" s="175"/>
      <c r="E154" s="176"/>
      <c r="F154" s="175"/>
      <c r="G154" s="176"/>
      <c r="H154" s="175"/>
      <c r="I154" s="176"/>
      <c r="J154" s="175"/>
      <c r="K154" s="176"/>
      <c r="L154" s="175"/>
      <c r="M154" s="176"/>
      <c r="N154" s="162"/>
      <c r="O154" s="163"/>
      <c r="P154" s="163"/>
      <c r="Q154" s="163"/>
      <c r="R154" s="163"/>
      <c r="S154" s="163"/>
      <c r="T154" s="163"/>
      <c r="U154" s="163"/>
      <c r="V154" s="163"/>
      <c r="W154" s="163"/>
    </row>
    <row r="155">
      <c r="A155" s="186"/>
      <c r="B155" s="175"/>
      <c r="C155" s="176"/>
      <c r="D155" s="175"/>
      <c r="E155" s="176"/>
      <c r="F155" s="175"/>
      <c r="G155" s="176"/>
      <c r="H155" s="175"/>
      <c r="I155" s="176"/>
      <c r="J155" s="175"/>
      <c r="K155" s="176"/>
      <c r="L155" s="175"/>
      <c r="M155" s="176"/>
      <c r="N155" s="162"/>
      <c r="O155" s="163"/>
      <c r="P155" s="163"/>
      <c r="Q155" s="163"/>
      <c r="R155" s="163"/>
      <c r="S155" s="163"/>
      <c r="T155" s="163"/>
      <c r="U155" s="163"/>
      <c r="V155" s="163"/>
      <c r="W155" s="163"/>
    </row>
    <row r="156">
      <c r="A156" s="186"/>
      <c r="B156" s="175"/>
      <c r="C156" s="176"/>
      <c r="D156" s="175"/>
      <c r="E156" s="176"/>
      <c r="F156" s="175"/>
      <c r="G156" s="176"/>
      <c r="H156" s="175"/>
      <c r="I156" s="176"/>
      <c r="J156" s="175"/>
      <c r="K156" s="176"/>
      <c r="L156" s="175"/>
      <c r="M156" s="176"/>
      <c r="N156" s="162"/>
      <c r="O156" s="163"/>
      <c r="P156" s="163"/>
      <c r="Q156" s="163"/>
      <c r="R156" s="163"/>
      <c r="S156" s="163"/>
      <c r="T156" s="163"/>
      <c r="U156" s="163"/>
      <c r="V156" s="163"/>
      <c r="W156" s="163"/>
    </row>
    <row r="157">
      <c r="A157" s="186"/>
      <c r="B157" s="175"/>
      <c r="C157" s="176"/>
      <c r="D157" s="175"/>
      <c r="E157" s="176"/>
      <c r="F157" s="175"/>
      <c r="G157" s="176"/>
      <c r="H157" s="175"/>
      <c r="I157" s="176"/>
      <c r="J157" s="175"/>
      <c r="K157" s="176"/>
      <c r="L157" s="175"/>
      <c r="M157" s="176"/>
      <c r="N157" s="162"/>
      <c r="O157" s="163"/>
      <c r="P157" s="163"/>
      <c r="Q157" s="163"/>
      <c r="R157" s="163"/>
      <c r="S157" s="163"/>
      <c r="T157" s="163"/>
      <c r="U157" s="163"/>
      <c r="V157" s="163"/>
      <c r="W157" s="163"/>
    </row>
    <row r="158">
      <c r="A158" s="186"/>
      <c r="B158" s="175"/>
      <c r="C158" s="176"/>
      <c r="D158" s="175"/>
      <c r="E158" s="176"/>
      <c r="F158" s="175"/>
      <c r="G158" s="176"/>
      <c r="H158" s="175"/>
      <c r="I158" s="176"/>
      <c r="J158" s="175"/>
      <c r="K158" s="176"/>
      <c r="L158" s="175"/>
      <c r="M158" s="176"/>
      <c r="N158" s="162"/>
      <c r="O158" s="163"/>
      <c r="P158" s="163"/>
      <c r="Q158" s="163"/>
      <c r="R158" s="163"/>
      <c r="S158" s="163"/>
      <c r="T158" s="163"/>
      <c r="U158" s="163"/>
      <c r="V158" s="163"/>
      <c r="W158" s="163"/>
    </row>
    <row r="159">
      <c r="A159" s="186"/>
      <c r="B159" s="175"/>
      <c r="C159" s="176"/>
      <c r="D159" s="175"/>
      <c r="E159" s="176"/>
      <c r="F159" s="175"/>
      <c r="G159" s="176"/>
      <c r="H159" s="175"/>
      <c r="I159" s="176"/>
      <c r="J159" s="175"/>
      <c r="K159" s="176"/>
      <c r="L159" s="175"/>
      <c r="M159" s="176"/>
      <c r="N159" s="162"/>
      <c r="O159" s="163"/>
      <c r="P159" s="163"/>
      <c r="Q159" s="163"/>
      <c r="R159" s="163"/>
      <c r="S159" s="163"/>
      <c r="T159" s="163"/>
      <c r="U159" s="163"/>
      <c r="V159" s="163"/>
      <c r="W159" s="163"/>
    </row>
    <row r="160">
      <c r="A160" s="186"/>
      <c r="B160" s="175"/>
      <c r="C160" s="176"/>
      <c r="D160" s="175"/>
      <c r="E160" s="176"/>
      <c r="F160" s="175"/>
      <c r="G160" s="176"/>
      <c r="H160" s="175"/>
      <c r="I160" s="176"/>
      <c r="J160" s="175"/>
      <c r="K160" s="176"/>
      <c r="L160" s="175"/>
      <c r="M160" s="176"/>
      <c r="N160" s="162"/>
      <c r="O160" s="163"/>
      <c r="P160" s="163"/>
      <c r="Q160" s="163"/>
      <c r="R160" s="163"/>
      <c r="S160" s="163"/>
      <c r="T160" s="163"/>
      <c r="U160" s="163"/>
      <c r="V160" s="163"/>
      <c r="W160" s="163"/>
    </row>
    <row r="161">
      <c r="A161" s="186"/>
      <c r="B161" s="175"/>
      <c r="C161" s="176"/>
      <c r="D161" s="175"/>
      <c r="E161" s="176"/>
      <c r="F161" s="175"/>
      <c r="G161" s="176"/>
      <c r="H161" s="175"/>
      <c r="I161" s="176"/>
      <c r="J161" s="175"/>
      <c r="K161" s="176"/>
      <c r="L161" s="175"/>
      <c r="M161" s="176"/>
      <c r="N161" s="162"/>
      <c r="O161" s="163"/>
      <c r="P161" s="163"/>
      <c r="Q161" s="163"/>
      <c r="R161" s="163"/>
      <c r="S161" s="163"/>
      <c r="T161" s="163"/>
      <c r="U161" s="163"/>
      <c r="V161" s="163"/>
      <c r="W161" s="163"/>
    </row>
    <row r="162">
      <c r="A162" s="186"/>
      <c r="B162" s="175"/>
      <c r="C162" s="176"/>
      <c r="D162" s="175"/>
      <c r="E162" s="176"/>
      <c r="F162" s="175"/>
      <c r="G162" s="176"/>
      <c r="H162" s="175"/>
      <c r="I162" s="176"/>
      <c r="J162" s="175"/>
      <c r="K162" s="176"/>
      <c r="L162" s="175"/>
      <c r="M162" s="176"/>
      <c r="N162" s="162"/>
      <c r="O162" s="163"/>
      <c r="P162" s="163"/>
      <c r="Q162" s="163"/>
      <c r="R162" s="163"/>
      <c r="S162" s="163"/>
      <c r="T162" s="163"/>
      <c r="U162" s="163"/>
      <c r="V162" s="163"/>
      <c r="W162" s="163"/>
    </row>
    <row r="163">
      <c r="A163" s="186"/>
      <c r="B163" s="175"/>
      <c r="C163" s="176"/>
      <c r="D163" s="175"/>
      <c r="E163" s="176"/>
      <c r="F163" s="175"/>
      <c r="G163" s="176"/>
      <c r="H163" s="175"/>
      <c r="I163" s="176"/>
      <c r="J163" s="175"/>
      <c r="K163" s="176"/>
      <c r="L163" s="175"/>
      <c r="M163" s="176"/>
      <c r="N163" s="162"/>
      <c r="O163" s="163"/>
      <c r="P163" s="163"/>
      <c r="Q163" s="163"/>
      <c r="R163" s="163"/>
      <c r="S163" s="163"/>
      <c r="T163" s="163"/>
      <c r="U163" s="163"/>
      <c r="V163" s="163"/>
      <c r="W163" s="163"/>
    </row>
    <row r="164">
      <c r="A164" s="186"/>
      <c r="B164" s="175"/>
      <c r="C164" s="176"/>
      <c r="D164" s="175"/>
      <c r="E164" s="176"/>
      <c r="F164" s="175"/>
      <c r="G164" s="176"/>
      <c r="H164" s="175"/>
      <c r="I164" s="176"/>
      <c r="J164" s="175"/>
      <c r="K164" s="176"/>
      <c r="L164" s="175"/>
      <c r="M164" s="176"/>
      <c r="N164" s="162"/>
      <c r="O164" s="163"/>
      <c r="P164" s="163"/>
      <c r="Q164" s="163"/>
      <c r="R164" s="163"/>
      <c r="S164" s="163"/>
      <c r="T164" s="163"/>
      <c r="U164" s="163"/>
      <c r="V164" s="163"/>
      <c r="W164" s="163"/>
    </row>
    <row r="165">
      <c r="A165" s="186"/>
      <c r="B165" s="175"/>
      <c r="C165" s="176"/>
      <c r="D165" s="175"/>
      <c r="E165" s="176"/>
      <c r="F165" s="175"/>
      <c r="G165" s="176"/>
      <c r="H165" s="175"/>
      <c r="I165" s="176"/>
      <c r="J165" s="175"/>
      <c r="K165" s="176"/>
      <c r="L165" s="175"/>
      <c r="M165" s="176"/>
      <c r="N165" s="162"/>
      <c r="O165" s="163"/>
      <c r="P165" s="163"/>
      <c r="Q165" s="163"/>
      <c r="R165" s="163"/>
      <c r="S165" s="163"/>
      <c r="T165" s="163"/>
      <c r="U165" s="163"/>
      <c r="V165" s="163"/>
      <c r="W165" s="163"/>
    </row>
    <row r="166">
      <c r="A166" s="186"/>
      <c r="B166" s="175"/>
      <c r="C166" s="176"/>
      <c r="D166" s="175"/>
      <c r="E166" s="176"/>
      <c r="F166" s="175"/>
      <c r="G166" s="176"/>
      <c r="H166" s="175"/>
      <c r="I166" s="176"/>
      <c r="J166" s="175"/>
      <c r="K166" s="176"/>
      <c r="L166" s="175"/>
      <c r="M166" s="176"/>
      <c r="N166" s="162"/>
      <c r="O166" s="163"/>
      <c r="P166" s="163"/>
      <c r="Q166" s="163"/>
      <c r="R166" s="163"/>
      <c r="S166" s="163"/>
      <c r="T166" s="163"/>
      <c r="U166" s="163"/>
      <c r="V166" s="163"/>
      <c r="W166" s="163"/>
    </row>
    <row r="167">
      <c r="A167" s="186"/>
      <c r="B167" s="175"/>
      <c r="C167" s="176"/>
      <c r="D167" s="175"/>
      <c r="E167" s="176"/>
      <c r="F167" s="175"/>
      <c r="G167" s="176"/>
      <c r="H167" s="175"/>
      <c r="I167" s="176"/>
      <c r="J167" s="175"/>
      <c r="K167" s="176"/>
      <c r="L167" s="175"/>
      <c r="M167" s="176"/>
      <c r="N167" s="162"/>
      <c r="O167" s="163"/>
      <c r="P167" s="163"/>
      <c r="Q167" s="163"/>
      <c r="R167" s="163"/>
      <c r="S167" s="163"/>
      <c r="T167" s="163"/>
      <c r="U167" s="163"/>
      <c r="V167" s="163"/>
      <c r="W167" s="163"/>
    </row>
    <row r="168">
      <c r="A168" s="186"/>
      <c r="B168" s="175"/>
      <c r="C168" s="176"/>
      <c r="D168" s="175"/>
      <c r="E168" s="176"/>
      <c r="F168" s="175"/>
      <c r="G168" s="176"/>
      <c r="H168" s="175"/>
      <c r="I168" s="176"/>
      <c r="J168" s="175"/>
      <c r="K168" s="176"/>
      <c r="L168" s="175"/>
      <c r="M168" s="176"/>
      <c r="N168" s="162"/>
      <c r="O168" s="163"/>
      <c r="P168" s="163"/>
      <c r="Q168" s="163"/>
      <c r="R168" s="163"/>
      <c r="S168" s="163"/>
      <c r="T168" s="163"/>
      <c r="U168" s="163"/>
      <c r="V168" s="163"/>
      <c r="W168" s="163"/>
    </row>
    <row r="169">
      <c r="A169" s="186"/>
      <c r="B169" s="175"/>
      <c r="C169" s="176"/>
      <c r="D169" s="175"/>
      <c r="E169" s="176"/>
      <c r="F169" s="175"/>
      <c r="G169" s="176"/>
      <c r="H169" s="175"/>
      <c r="I169" s="176"/>
      <c r="J169" s="175"/>
      <c r="K169" s="176"/>
      <c r="L169" s="175"/>
      <c r="M169" s="176"/>
      <c r="N169" s="162"/>
      <c r="O169" s="163"/>
      <c r="P169" s="163"/>
      <c r="Q169" s="163"/>
      <c r="R169" s="163"/>
      <c r="S169" s="163"/>
      <c r="T169" s="163"/>
      <c r="U169" s="163"/>
      <c r="V169" s="163"/>
      <c r="W169" s="163"/>
    </row>
    <row r="170">
      <c r="A170" s="186"/>
      <c r="B170" s="175"/>
      <c r="C170" s="176"/>
      <c r="D170" s="175"/>
      <c r="E170" s="176"/>
      <c r="F170" s="175"/>
      <c r="G170" s="176"/>
      <c r="H170" s="175"/>
      <c r="I170" s="176"/>
      <c r="J170" s="175"/>
      <c r="K170" s="176"/>
      <c r="L170" s="175"/>
      <c r="M170" s="176"/>
      <c r="N170" s="162"/>
      <c r="O170" s="163"/>
      <c r="P170" s="163"/>
      <c r="Q170" s="163"/>
      <c r="R170" s="163"/>
      <c r="S170" s="163"/>
      <c r="T170" s="163"/>
      <c r="U170" s="163"/>
      <c r="V170" s="163"/>
      <c r="W170" s="163"/>
    </row>
    <row r="171">
      <c r="A171" s="186"/>
      <c r="B171" s="175"/>
      <c r="C171" s="176"/>
      <c r="D171" s="175"/>
      <c r="E171" s="176"/>
      <c r="F171" s="175"/>
      <c r="G171" s="176"/>
      <c r="H171" s="175"/>
      <c r="I171" s="176"/>
      <c r="J171" s="175"/>
      <c r="K171" s="176"/>
      <c r="L171" s="175"/>
      <c r="M171" s="176"/>
      <c r="N171" s="162"/>
      <c r="O171" s="163"/>
      <c r="P171" s="163"/>
      <c r="Q171" s="163"/>
      <c r="R171" s="163"/>
      <c r="S171" s="163"/>
      <c r="T171" s="163"/>
      <c r="U171" s="163"/>
      <c r="V171" s="163"/>
      <c r="W171" s="163"/>
    </row>
    <row r="172">
      <c r="A172" s="186"/>
      <c r="B172" s="175"/>
      <c r="C172" s="176"/>
      <c r="D172" s="175"/>
      <c r="E172" s="176"/>
      <c r="F172" s="175"/>
      <c r="G172" s="176"/>
      <c r="H172" s="175"/>
      <c r="I172" s="176"/>
      <c r="J172" s="175"/>
      <c r="K172" s="176"/>
      <c r="L172" s="175"/>
      <c r="M172" s="176"/>
      <c r="N172" s="162"/>
      <c r="O172" s="163"/>
      <c r="P172" s="163"/>
      <c r="Q172" s="163"/>
      <c r="R172" s="163"/>
      <c r="S172" s="163"/>
      <c r="T172" s="163"/>
      <c r="U172" s="163"/>
      <c r="V172" s="163"/>
      <c r="W172" s="163"/>
    </row>
    <row r="173">
      <c r="A173" s="186"/>
      <c r="B173" s="175"/>
      <c r="C173" s="176"/>
      <c r="D173" s="175"/>
      <c r="E173" s="176"/>
      <c r="F173" s="175"/>
      <c r="G173" s="176"/>
      <c r="H173" s="175"/>
      <c r="I173" s="176"/>
      <c r="J173" s="175"/>
      <c r="K173" s="176"/>
      <c r="L173" s="175"/>
      <c r="M173" s="176"/>
      <c r="N173" s="162"/>
      <c r="O173" s="163"/>
      <c r="P173" s="163"/>
      <c r="Q173" s="163"/>
      <c r="R173" s="163"/>
      <c r="S173" s="163"/>
      <c r="T173" s="163"/>
      <c r="U173" s="163"/>
      <c r="V173" s="163"/>
      <c r="W173" s="163"/>
    </row>
    <row r="174">
      <c r="A174" s="186"/>
      <c r="B174" s="175"/>
      <c r="C174" s="176"/>
      <c r="D174" s="175"/>
      <c r="E174" s="176"/>
      <c r="F174" s="175"/>
      <c r="G174" s="176"/>
      <c r="H174" s="175"/>
      <c r="I174" s="176"/>
      <c r="J174" s="175"/>
      <c r="K174" s="176"/>
      <c r="L174" s="175"/>
      <c r="M174" s="176"/>
      <c r="N174" s="162"/>
      <c r="O174" s="163"/>
      <c r="P174" s="163"/>
      <c r="Q174" s="163"/>
      <c r="R174" s="163"/>
      <c r="S174" s="163"/>
      <c r="T174" s="163"/>
      <c r="U174" s="163"/>
      <c r="V174" s="163"/>
      <c r="W174" s="163"/>
    </row>
    <row r="175">
      <c r="A175" s="186"/>
      <c r="B175" s="175"/>
      <c r="C175" s="176"/>
      <c r="D175" s="175"/>
      <c r="E175" s="176"/>
      <c r="F175" s="175"/>
      <c r="G175" s="176"/>
      <c r="H175" s="175"/>
      <c r="I175" s="176"/>
      <c r="J175" s="175"/>
      <c r="K175" s="176"/>
      <c r="L175" s="175"/>
      <c r="M175" s="176"/>
      <c r="N175" s="162"/>
      <c r="O175" s="163"/>
      <c r="P175" s="163"/>
      <c r="Q175" s="163"/>
      <c r="R175" s="163"/>
      <c r="S175" s="163"/>
      <c r="T175" s="163"/>
      <c r="U175" s="163"/>
      <c r="V175" s="163"/>
      <c r="W175" s="163"/>
    </row>
    <row r="176">
      <c r="A176" s="186"/>
      <c r="B176" s="175"/>
      <c r="C176" s="176"/>
      <c r="D176" s="175"/>
      <c r="E176" s="176"/>
      <c r="F176" s="175"/>
      <c r="G176" s="176"/>
      <c r="H176" s="175"/>
      <c r="I176" s="176"/>
      <c r="J176" s="175"/>
      <c r="K176" s="176"/>
      <c r="L176" s="175"/>
      <c r="M176" s="176"/>
      <c r="N176" s="162"/>
      <c r="O176" s="163"/>
      <c r="P176" s="163"/>
      <c r="Q176" s="163"/>
      <c r="R176" s="163"/>
      <c r="S176" s="163"/>
      <c r="T176" s="163"/>
      <c r="U176" s="163"/>
      <c r="V176" s="163"/>
      <c r="W176" s="163"/>
    </row>
    <row r="177">
      <c r="A177" s="186"/>
      <c r="B177" s="175"/>
      <c r="C177" s="176"/>
      <c r="D177" s="175"/>
      <c r="E177" s="176"/>
      <c r="F177" s="175"/>
      <c r="G177" s="176"/>
      <c r="H177" s="175"/>
      <c r="I177" s="176"/>
      <c r="J177" s="175"/>
      <c r="K177" s="176"/>
      <c r="L177" s="175"/>
      <c r="M177" s="176"/>
      <c r="N177" s="162"/>
      <c r="O177" s="163"/>
      <c r="P177" s="163"/>
      <c r="Q177" s="163"/>
      <c r="R177" s="163"/>
      <c r="S177" s="163"/>
      <c r="T177" s="163"/>
      <c r="U177" s="163"/>
      <c r="V177" s="163"/>
      <c r="W177" s="163"/>
    </row>
    <row r="178">
      <c r="A178" s="186"/>
      <c r="B178" s="175"/>
      <c r="C178" s="176"/>
      <c r="D178" s="175"/>
      <c r="E178" s="176"/>
      <c r="F178" s="175"/>
      <c r="G178" s="176"/>
      <c r="H178" s="175"/>
      <c r="I178" s="176"/>
      <c r="J178" s="175"/>
      <c r="K178" s="176"/>
      <c r="L178" s="175"/>
      <c r="M178" s="176"/>
      <c r="N178" s="162"/>
      <c r="O178" s="163"/>
      <c r="P178" s="163"/>
      <c r="Q178" s="163"/>
      <c r="R178" s="163"/>
      <c r="S178" s="163"/>
      <c r="T178" s="163"/>
      <c r="U178" s="163"/>
      <c r="V178" s="163"/>
      <c r="W178" s="163"/>
    </row>
    <row r="179">
      <c r="A179" s="186"/>
      <c r="B179" s="175"/>
      <c r="C179" s="176"/>
      <c r="D179" s="175"/>
      <c r="E179" s="176"/>
      <c r="F179" s="175"/>
      <c r="G179" s="176"/>
      <c r="H179" s="175"/>
      <c r="I179" s="176"/>
      <c r="J179" s="175"/>
      <c r="K179" s="176"/>
      <c r="L179" s="175"/>
      <c r="M179" s="176"/>
      <c r="N179" s="162"/>
      <c r="O179" s="163"/>
      <c r="P179" s="163"/>
      <c r="Q179" s="163"/>
      <c r="R179" s="163"/>
      <c r="S179" s="163"/>
      <c r="T179" s="163"/>
      <c r="U179" s="163"/>
      <c r="V179" s="163"/>
      <c r="W179" s="163"/>
    </row>
    <row r="180">
      <c r="A180" s="186"/>
      <c r="B180" s="175"/>
      <c r="C180" s="176"/>
      <c r="D180" s="175"/>
      <c r="E180" s="176"/>
      <c r="F180" s="175"/>
      <c r="G180" s="176"/>
      <c r="H180" s="175"/>
      <c r="I180" s="176"/>
      <c r="J180" s="175"/>
      <c r="K180" s="176"/>
      <c r="L180" s="175"/>
      <c r="M180" s="176"/>
      <c r="N180" s="162"/>
      <c r="O180" s="163"/>
      <c r="P180" s="163"/>
      <c r="Q180" s="163"/>
      <c r="R180" s="163"/>
      <c r="S180" s="163"/>
      <c r="T180" s="163"/>
      <c r="U180" s="163"/>
      <c r="V180" s="163"/>
      <c r="W180" s="163"/>
    </row>
    <row r="181">
      <c r="A181" s="186"/>
      <c r="B181" s="175"/>
      <c r="C181" s="176"/>
      <c r="D181" s="175"/>
      <c r="E181" s="176"/>
      <c r="F181" s="175"/>
      <c r="G181" s="176"/>
      <c r="H181" s="175"/>
      <c r="I181" s="176"/>
      <c r="J181" s="175"/>
      <c r="K181" s="176"/>
      <c r="L181" s="175"/>
      <c r="M181" s="176"/>
      <c r="N181" s="162"/>
      <c r="O181" s="163"/>
      <c r="P181" s="163"/>
      <c r="Q181" s="163"/>
      <c r="R181" s="163"/>
      <c r="S181" s="163"/>
      <c r="T181" s="163"/>
      <c r="U181" s="163"/>
      <c r="V181" s="163"/>
      <c r="W181" s="163"/>
    </row>
    <row r="182">
      <c r="A182" s="186"/>
      <c r="B182" s="175"/>
      <c r="C182" s="176"/>
      <c r="D182" s="175"/>
      <c r="E182" s="176"/>
      <c r="F182" s="175"/>
      <c r="G182" s="176"/>
      <c r="H182" s="175"/>
      <c r="I182" s="176"/>
      <c r="J182" s="175"/>
      <c r="K182" s="176"/>
      <c r="L182" s="175"/>
      <c r="M182" s="176"/>
      <c r="N182" s="162"/>
      <c r="O182" s="163"/>
      <c r="P182" s="163"/>
      <c r="Q182" s="163"/>
      <c r="R182" s="163"/>
      <c r="S182" s="163"/>
      <c r="T182" s="163"/>
      <c r="U182" s="163"/>
      <c r="V182" s="163"/>
      <c r="W182" s="163"/>
    </row>
    <row r="183">
      <c r="A183" s="186"/>
      <c r="B183" s="175"/>
      <c r="C183" s="176"/>
      <c r="D183" s="175"/>
      <c r="E183" s="176"/>
      <c r="F183" s="175"/>
      <c r="G183" s="176"/>
      <c r="H183" s="175"/>
      <c r="I183" s="176"/>
      <c r="J183" s="175"/>
      <c r="K183" s="176"/>
      <c r="L183" s="175"/>
      <c r="M183" s="176"/>
      <c r="N183" s="162"/>
      <c r="O183" s="163"/>
      <c r="P183" s="163"/>
      <c r="Q183" s="163"/>
      <c r="R183" s="163"/>
      <c r="S183" s="163"/>
      <c r="T183" s="163"/>
      <c r="U183" s="163"/>
      <c r="V183" s="163"/>
      <c r="W183" s="163"/>
    </row>
    <row r="184">
      <c r="A184" s="186"/>
      <c r="B184" s="175"/>
      <c r="C184" s="176"/>
      <c r="D184" s="175"/>
      <c r="E184" s="176"/>
      <c r="F184" s="175"/>
      <c r="G184" s="176"/>
      <c r="H184" s="175"/>
      <c r="I184" s="176"/>
      <c r="J184" s="175"/>
      <c r="K184" s="176"/>
      <c r="L184" s="175"/>
      <c r="M184" s="176"/>
      <c r="N184" s="162"/>
      <c r="O184" s="163"/>
      <c r="P184" s="163"/>
      <c r="Q184" s="163"/>
      <c r="R184" s="163"/>
      <c r="S184" s="163"/>
      <c r="T184" s="163"/>
      <c r="U184" s="163"/>
      <c r="V184" s="163"/>
      <c r="W184" s="163"/>
    </row>
    <row r="185">
      <c r="A185" s="186"/>
      <c r="B185" s="175"/>
      <c r="C185" s="176"/>
      <c r="D185" s="175"/>
      <c r="E185" s="176"/>
      <c r="F185" s="175"/>
      <c r="G185" s="176"/>
      <c r="H185" s="175"/>
      <c r="I185" s="176"/>
      <c r="J185" s="175"/>
      <c r="K185" s="176"/>
      <c r="L185" s="175"/>
      <c r="M185" s="176"/>
      <c r="N185" s="162"/>
      <c r="O185" s="163"/>
      <c r="P185" s="163"/>
      <c r="Q185" s="163"/>
      <c r="R185" s="163"/>
      <c r="S185" s="163"/>
      <c r="T185" s="163"/>
      <c r="U185" s="163"/>
      <c r="V185" s="163"/>
      <c r="W185" s="163"/>
    </row>
    <row r="186">
      <c r="A186" s="186"/>
      <c r="B186" s="175"/>
      <c r="C186" s="176"/>
      <c r="D186" s="175"/>
      <c r="E186" s="176"/>
      <c r="F186" s="175"/>
      <c r="G186" s="176"/>
      <c r="H186" s="175"/>
      <c r="I186" s="176"/>
      <c r="J186" s="175"/>
      <c r="K186" s="176"/>
      <c r="L186" s="175"/>
      <c r="M186" s="176"/>
      <c r="N186" s="162"/>
      <c r="O186" s="163"/>
      <c r="P186" s="163"/>
      <c r="Q186" s="163"/>
      <c r="R186" s="163"/>
      <c r="S186" s="163"/>
      <c r="T186" s="163"/>
      <c r="U186" s="163"/>
      <c r="V186" s="163"/>
      <c r="W186" s="163"/>
    </row>
    <row r="187">
      <c r="A187" s="186"/>
      <c r="B187" s="175"/>
      <c r="C187" s="176"/>
      <c r="D187" s="175"/>
      <c r="E187" s="176"/>
      <c r="F187" s="175"/>
      <c r="G187" s="176"/>
      <c r="H187" s="175"/>
      <c r="I187" s="176"/>
      <c r="J187" s="175"/>
      <c r="K187" s="176"/>
      <c r="L187" s="175"/>
      <c r="M187" s="176"/>
      <c r="N187" s="162"/>
      <c r="O187" s="163"/>
      <c r="P187" s="163"/>
      <c r="Q187" s="163"/>
      <c r="R187" s="163"/>
      <c r="S187" s="163"/>
      <c r="T187" s="163"/>
      <c r="U187" s="163"/>
      <c r="V187" s="163"/>
      <c r="W187" s="163"/>
    </row>
    <row r="188">
      <c r="A188" s="186"/>
      <c r="B188" s="175"/>
      <c r="C188" s="176"/>
      <c r="D188" s="175"/>
      <c r="E188" s="176"/>
      <c r="F188" s="175"/>
      <c r="G188" s="176"/>
      <c r="H188" s="175"/>
      <c r="I188" s="176"/>
      <c r="J188" s="175"/>
      <c r="K188" s="176"/>
      <c r="L188" s="175"/>
      <c r="M188" s="176"/>
      <c r="N188" s="162"/>
      <c r="O188" s="163"/>
      <c r="P188" s="163"/>
      <c r="Q188" s="163"/>
      <c r="R188" s="163"/>
      <c r="S188" s="163"/>
      <c r="T188" s="163"/>
      <c r="U188" s="163"/>
      <c r="V188" s="163"/>
      <c r="W188" s="163"/>
    </row>
    <row r="189">
      <c r="A189" s="186"/>
      <c r="B189" s="175"/>
      <c r="C189" s="176"/>
      <c r="D189" s="175"/>
      <c r="E189" s="176"/>
      <c r="F189" s="175"/>
      <c r="G189" s="176"/>
      <c r="H189" s="175"/>
      <c r="I189" s="176"/>
      <c r="J189" s="175"/>
      <c r="K189" s="176"/>
      <c r="L189" s="175"/>
      <c r="M189" s="176"/>
      <c r="N189" s="162"/>
      <c r="O189" s="163"/>
      <c r="P189" s="163"/>
      <c r="Q189" s="163"/>
      <c r="R189" s="163"/>
      <c r="S189" s="163"/>
      <c r="T189" s="163"/>
      <c r="U189" s="163"/>
      <c r="V189" s="163"/>
      <c r="W189" s="163"/>
    </row>
    <row r="190">
      <c r="A190" s="186"/>
      <c r="B190" s="175"/>
      <c r="C190" s="176"/>
      <c r="D190" s="175"/>
      <c r="E190" s="176"/>
      <c r="F190" s="175"/>
      <c r="G190" s="176"/>
      <c r="H190" s="175"/>
      <c r="I190" s="176"/>
      <c r="J190" s="175"/>
      <c r="K190" s="176"/>
      <c r="L190" s="175"/>
      <c r="M190" s="176"/>
      <c r="N190" s="162"/>
      <c r="O190" s="163"/>
      <c r="P190" s="163"/>
      <c r="Q190" s="163"/>
      <c r="R190" s="163"/>
      <c r="S190" s="163"/>
      <c r="T190" s="163"/>
      <c r="U190" s="163"/>
      <c r="V190" s="163"/>
      <c r="W190" s="163"/>
    </row>
    <row r="191">
      <c r="A191" s="186"/>
      <c r="B191" s="175"/>
      <c r="C191" s="176"/>
      <c r="D191" s="175"/>
      <c r="E191" s="176"/>
      <c r="F191" s="175"/>
      <c r="G191" s="176"/>
      <c r="H191" s="175"/>
      <c r="I191" s="176"/>
      <c r="J191" s="175"/>
      <c r="K191" s="176"/>
      <c r="L191" s="175"/>
      <c r="M191" s="176"/>
      <c r="N191" s="162"/>
      <c r="O191" s="163"/>
      <c r="P191" s="163"/>
      <c r="Q191" s="163"/>
      <c r="R191" s="163"/>
      <c r="S191" s="163"/>
      <c r="T191" s="163"/>
      <c r="U191" s="163"/>
      <c r="V191" s="163"/>
      <c r="W191" s="163"/>
    </row>
    <row r="192">
      <c r="A192" s="186"/>
      <c r="B192" s="175"/>
      <c r="C192" s="176"/>
      <c r="D192" s="175"/>
      <c r="E192" s="176"/>
      <c r="F192" s="175"/>
      <c r="G192" s="176"/>
      <c r="H192" s="175"/>
      <c r="I192" s="176"/>
      <c r="J192" s="175"/>
      <c r="K192" s="176"/>
      <c r="L192" s="175"/>
      <c r="M192" s="176"/>
      <c r="N192" s="162"/>
      <c r="O192" s="163"/>
      <c r="P192" s="163"/>
      <c r="Q192" s="163"/>
      <c r="R192" s="163"/>
      <c r="S192" s="163"/>
      <c r="T192" s="163"/>
      <c r="U192" s="163"/>
      <c r="V192" s="163"/>
      <c r="W192" s="163"/>
    </row>
    <row r="193">
      <c r="A193" s="186"/>
      <c r="B193" s="175"/>
      <c r="C193" s="176"/>
      <c r="D193" s="175"/>
      <c r="E193" s="176"/>
      <c r="F193" s="175"/>
      <c r="G193" s="176"/>
      <c r="H193" s="175"/>
      <c r="I193" s="176"/>
      <c r="J193" s="175"/>
      <c r="K193" s="176"/>
      <c r="L193" s="175"/>
      <c r="M193" s="176"/>
      <c r="N193" s="162"/>
      <c r="O193" s="163"/>
      <c r="P193" s="163"/>
      <c r="Q193" s="163"/>
      <c r="R193" s="163"/>
      <c r="S193" s="163"/>
      <c r="T193" s="163"/>
      <c r="U193" s="163"/>
      <c r="V193" s="163"/>
      <c r="W193" s="163"/>
    </row>
    <row r="194">
      <c r="A194" s="186"/>
      <c r="B194" s="175"/>
      <c r="C194" s="176"/>
      <c r="D194" s="175"/>
      <c r="E194" s="176"/>
      <c r="F194" s="175"/>
      <c r="G194" s="176"/>
      <c r="H194" s="175"/>
      <c r="I194" s="176"/>
      <c r="J194" s="175"/>
      <c r="K194" s="176"/>
      <c r="L194" s="175"/>
      <c r="M194" s="176"/>
      <c r="N194" s="162"/>
      <c r="O194" s="163"/>
      <c r="P194" s="163"/>
      <c r="Q194" s="163"/>
      <c r="R194" s="163"/>
      <c r="S194" s="163"/>
      <c r="T194" s="163"/>
      <c r="U194" s="163"/>
      <c r="V194" s="163"/>
      <c r="W194" s="163"/>
    </row>
    <row r="195">
      <c r="A195" s="186"/>
      <c r="B195" s="175"/>
      <c r="C195" s="176"/>
      <c r="D195" s="175"/>
      <c r="E195" s="176"/>
      <c r="F195" s="175"/>
      <c r="G195" s="176"/>
      <c r="H195" s="175"/>
      <c r="I195" s="176"/>
      <c r="J195" s="175"/>
      <c r="K195" s="176"/>
      <c r="L195" s="175"/>
      <c r="M195" s="176"/>
      <c r="N195" s="162"/>
      <c r="O195" s="163"/>
      <c r="P195" s="163"/>
      <c r="Q195" s="163"/>
      <c r="R195" s="163"/>
      <c r="S195" s="163"/>
      <c r="T195" s="163"/>
      <c r="U195" s="163"/>
      <c r="V195" s="163"/>
      <c r="W195" s="163"/>
    </row>
    <row r="196">
      <c r="A196" s="186"/>
      <c r="B196" s="175"/>
      <c r="C196" s="176"/>
      <c r="D196" s="175"/>
      <c r="E196" s="176"/>
      <c r="F196" s="175"/>
      <c r="G196" s="176"/>
      <c r="H196" s="175"/>
      <c r="I196" s="176"/>
      <c r="J196" s="175"/>
      <c r="K196" s="176"/>
      <c r="L196" s="175"/>
      <c r="M196" s="176"/>
      <c r="N196" s="162"/>
      <c r="O196" s="163"/>
      <c r="P196" s="163"/>
      <c r="Q196" s="163"/>
      <c r="R196" s="163"/>
      <c r="S196" s="163"/>
      <c r="T196" s="163"/>
      <c r="U196" s="163"/>
      <c r="V196" s="163"/>
      <c r="W196" s="163"/>
    </row>
    <row r="197">
      <c r="A197" s="186"/>
      <c r="B197" s="175"/>
      <c r="C197" s="176"/>
      <c r="D197" s="175"/>
      <c r="E197" s="176"/>
      <c r="F197" s="175"/>
      <c r="G197" s="176"/>
      <c r="H197" s="175"/>
      <c r="I197" s="176"/>
      <c r="J197" s="175"/>
      <c r="K197" s="176"/>
      <c r="L197" s="175"/>
      <c r="M197" s="176"/>
      <c r="N197" s="162"/>
      <c r="O197" s="163"/>
      <c r="P197" s="163"/>
      <c r="Q197" s="163"/>
      <c r="R197" s="163"/>
      <c r="S197" s="163"/>
      <c r="T197" s="163"/>
      <c r="U197" s="163"/>
      <c r="V197" s="163"/>
      <c r="W197" s="163"/>
    </row>
    <row r="198">
      <c r="A198" s="186"/>
      <c r="B198" s="175"/>
      <c r="C198" s="176"/>
      <c r="D198" s="175"/>
      <c r="E198" s="176"/>
      <c r="F198" s="175"/>
      <c r="G198" s="176"/>
      <c r="H198" s="175"/>
      <c r="I198" s="176"/>
      <c r="J198" s="175"/>
      <c r="K198" s="176"/>
      <c r="L198" s="175"/>
      <c r="M198" s="176"/>
      <c r="N198" s="162"/>
      <c r="O198" s="163"/>
      <c r="P198" s="163"/>
      <c r="Q198" s="163"/>
      <c r="R198" s="163"/>
      <c r="S198" s="163"/>
      <c r="T198" s="163"/>
      <c r="U198" s="163"/>
      <c r="V198" s="163"/>
      <c r="W198" s="163"/>
    </row>
    <row r="199">
      <c r="A199" s="186"/>
      <c r="B199" s="175"/>
      <c r="C199" s="176"/>
      <c r="D199" s="175"/>
      <c r="E199" s="176"/>
      <c r="F199" s="175"/>
      <c r="G199" s="176"/>
      <c r="H199" s="175"/>
      <c r="I199" s="176"/>
      <c r="J199" s="175"/>
      <c r="K199" s="176"/>
      <c r="L199" s="175"/>
      <c r="M199" s="176"/>
      <c r="N199" s="162"/>
      <c r="O199" s="163"/>
      <c r="P199" s="163"/>
      <c r="Q199" s="163"/>
      <c r="R199" s="163"/>
      <c r="S199" s="163"/>
      <c r="T199" s="163"/>
      <c r="U199" s="163"/>
      <c r="V199" s="163"/>
      <c r="W199" s="163"/>
    </row>
    <row r="200">
      <c r="A200" s="186"/>
      <c r="B200" s="175"/>
      <c r="C200" s="176"/>
      <c r="D200" s="175"/>
      <c r="E200" s="176"/>
      <c r="F200" s="175"/>
      <c r="G200" s="176"/>
      <c r="H200" s="175"/>
      <c r="I200" s="176"/>
      <c r="J200" s="175"/>
      <c r="K200" s="176"/>
      <c r="L200" s="175"/>
      <c r="M200" s="176"/>
      <c r="N200" s="162"/>
      <c r="O200" s="163"/>
      <c r="P200" s="163"/>
      <c r="Q200" s="163"/>
      <c r="R200" s="163"/>
      <c r="S200" s="163"/>
      <c r="T200" s="163"/>
      <c r="U200" s="163"/>
      <c r="V200" s="163"/>
      <c r="W200" s="163"/>
    </row>
  </sheetData>
  <mergeCells>
    <mergeCell ref="B1:M1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4" min="14" style="0" width="14"/>
    <col collapsed="false" customWidth="true" hidden="false" max="19" min="19" style="0" width="14"/>
    <col collapsed="false" customWidth="true" hidden="false" max="27" min="27" style="0" width="14"/>
    <col collapsed="false" customWidth="true" hidden="false" max="35" min="35" style="0" width="14"/>
    <col collapsed="false" customWidth="true" hidden="false" max="43" min="43" style="0" width="14"/>
    <col collapsed="false" customWidth="true" hidden="false" max="51" min="51" style="0" width="14"/>
    <col collapsed="false" customWidth="true" hidden="false" max="3" min="3" style="0" width="19"/>
    <col collapsed="false" customWidth="true" hidden="false" max="4" min="4" style="0" width="14"/>
    <col collapsed="false" customWidth="true" hidden="false" max="11" min="11" style="0" width="14"/>
    <col collapsed="false" customWidth="true" hidden="false" max="20" min="20" style="0" width="14"/>
    <col collapsed="false" customWidth="true" hidden="false" max="28" min="28" style="0" width="14"/>
    <col collapsed="false" customWidth="true" hidden="false" max="36" min="36" style="0" width="14"/>
    <col collapsed="false" customWidth="true" hidden="false" max="44" min="44" style="0" width="14"/>
    <col collapsed="false" customWidth="true" hidden="false" max="52" min="52" style="0" width="14"/>
    <col collapsed="false" customWidth="true" hidden="false" max="1" min="1" style="0" width="14"/>
    <col collapsed="false" customWidth="true" hidden="false" max="12" min="12" style="0" width="14"/>
    <col collapsed="false" customWidth="true" hidden="false" max="17" min="17" style="0" width="14"/>
    <col collapsed="false" customWidth="true" hidden="false" max="25" min="25" style="0" width="14"/>
    <col collapsed="false" customWidth="true" hidden="false" max="33" min="33" style="0" width="14"/>
    <col collapsed="false" customWidth="true" hidden="false" max="41" min="41" style="0" width="14"/>
    <col collapsed="false" customWidth="true" hidden="false" max="49" min="49" style="0" width="14"/>
    <col collapsed="false" customWidth="true" hidden="false" max="2" min="2" style="0" width="32"/>
    <col collapsed="false" customWidth="true" hidden="false" max="9" min="9" style="0" width="14"/>
    <col collapsed="false" customWidth="true" hidden="false" max="18" min="18" style="0" width="14"/>
    <col collapsed="false" customWidth="true" hidden="false" max="26" min="26" style="0" width="14"/>
    <col collapsed="false" customWidth="true" hidden="false" max="34" min="34" style="0" width="14"/>
    <col collapsed="false" customWidth="true" hidden="false" max="42" min="42" style="0" width="14"/>
    <col collapsed="false" customWidth="true" hidden="false" max="50" min="50" style="0" width="14"/>
    <col collapsed="false" customWidth="true" hidden="false" max="7" min="7" style="0" width="14"/>
    <col collapsed="false" customWidth="true" hidden="false" max="10" min="10" style="0" width="14"/>
    <col collapsed="false" customWidth="true" hidden="false" max="23" min="23" style="0" width="14"/>
    <col collapsed="false" customWidth="true" hidden="false" max="31" min="31" style="0" width="14"/>
    <col collapsed="false" customWidth="true" hidden="false" max="39" min="39" style="0" width="14"/>
    <col collapsed="false" customWidth="true" hidden="false" max="47" min="47" style="0" width="14"/>
    <col collapsed="false" customWidth="true" hidden="false" max="8" min="8" style="0" width="14"/>
    <col collapsed="false" customWidth="true" hidden="false" max="15" min="15" style="0" width="14"/>
    <col collapsed="false" customWidth="true" hidden="false" max="24" min="24" style="0" width="14"/>
    <col collapsed="false" customWidth="true" hidden="false" max="32" min="32" style="0" width="14"/>
    <col collapsed="false" customWidth="true" hidden="false" max="40" min="40" style="0" width="14"/>
    <col collapsed="false" customWidth="true" hidden="false" max="48" min="48" style="0" width="14"/>
    <col collapsed="false" customWidth="true" hidden="false" max="5" min="5" style="0" width="14"/>
    <col collapsed="false" customWidth="true" hidden="false" max="16" min="16" style="0" width="14"/>
    <col collapsed="false" customWidth="true" hidden="false" max="21" min="21" style="0" width="14"/>
    <col collapsed="false" customWidth="true" hidden="false" max="29" min="29" style="0" width="14"/>
    <col collapsed="false" customWidth="true" hidden="false" max="37" min="37" style="0" width="14"/>
    <col collapsed="false" customWidth="true" hidden="false" max="45" min="45" style="0" width="14"/>
    <col collapsed="false" customWidth="true" hidden="false" max="6" min="6" style="0" width="14"/>
    <col collapsed="false" customWidth="true" hidden="false" max="13" min="13" style="0" width="14"/>
    <col collapsed="false" customWidth="true" hidden="false" max="22" min="22" style="0" width="14"/>
    <col collapsed="false" customWidth="true" hidden="false" max="30" min="30" style="0" width="14"/>
    <col collapsed="false" customWidth="true" hidden="false" max="38" min="38" style="0" width="14"/>
    <col collapsed="false" customWidth="true" hidden="false" max="46" min="46" style="0" width="14"/>
  </cols>
  <sheetData>
    <row r="1">
      <c r="A1" s="187" t="s">
        <v>132</v>
      </c>
      <c r="B1" s="188"/>
      <c r="C1" s="189" t="s">
        <v>133</v>
      </c>
      <c r="D1" s="190"/>
      <c r="E1" s="191"/>
      <c r="F1" s="188"/>
      <c r="G1" s="188"/>
      <c r="H1" s="188"/>
      <c r="I1" s="188"/>
      <c r="J1" s="188"/>
      <c r="K1" s="188"/>
      <c r="L1" s="192"/>
      <c r="O1" s="191"/>
      <c r="P1" s="188"/>
      <c r="Q1" s="188"/>
      <c r="R1" s="188"/>
      <c r="S1" s="188"/>
      <c r="T1" s="188"/>
      <c r="U1" s="188"/>
      <c r="V1" s="192"/>
      <c r="Y1" s="191"/>
      <c r="Z1" s="188"/>
      <c r="AA1" s="188"/>
      <c r="AB1" s="188"/>
      <c r="AC1" s="188"/>
      <c r="AD1" s="188"/>
      <c r="AE1" s="188"/>
      <c r="AF1" s="192"/>
      <c r="AI1" s="191"/>
      <c r="AJ1" s="188"/>
      <c r="AK1" s="188"/>
      <c r="AL1" s="188"/>
      <c r="AM1" s="188"/>
      <c r="AN1" s="188"/>
      <c r="AO1" s="188"/>
      <c r="AP1" s="192"/>
      <c r="AS1" s="191"/>
      <c r="AT1" s="188"/>
      <c r="AU1" s="188"/>
      <c r="AV1" s="188"/>
      <c r="AW1" s="188"/>
      <c r="AX1" s="188"/>
      <c r="AY1" s="188"/>
      <c r="AZ1" s="192"/>
    </row>
    <row r="2">
      <c r="A2" s="193"/>
      <c r="B2" s="194"/>
      <c r="E2" s="191"/>
      <c r="F2" s="188"/>
      <c r="G2" s="188"/>
      <c r="H2" s="188"/>
      <c r="I2" s="188"/>
      <c r="J2" s="188"/>
      <c r="K2" s="188"/>
      <c r="L2" s="192"/>
      <c r="O2" s="191"/>
      <c r="P2" s="188"/>
      <c r="Q2" s="188"/>
      <c r="R2" s="188"/>
      <c r="S2" s="188"/>
      <c r="T2" s="188"/>
      <c r="U2" s="188"/>
      <c r="V2" s="192"/>
      <c r="Y2" s="191"/>
      <c r="Z2" s="188"/>
      <c r="AA2" s="188"/>
      <c r="AB2" s="188"/>
      <c r="AC2" s="188"/>
      <c r="AD2" s="188"/>
      <c r="AE2" s="188"/>
      <c r="AF2" s="192"/>
      <c r="AI2" s="191"/>
      <c r="AJ2" s="188"/>
      <c r="AK2" s="188"/>
      <c r="AL2" s="188"/>
      <c r="AM2" s="188"/>
      <c r="AN2" s="188"/>
      <c r="AO2" s="188"/>
      <c r="AP2" s="192"/>
      <c r="AS2" s="191"/>
      <c r="AT2" s="188"/>
      <c r="AU2" s="188"/>
      <c r="AV2" s="188"/>
      <c r="AW2" s="188"/>
      <c r="AX2" s="188"/>
      <c r="AY2" s="188"/>
      <c r="AZ2" s="195"/>
    </row>
    <row r="3">
      <c r="A3" s="193" t="s">
        <v>134</v>
      </c>
      <c r="B3" s="196" t="s">
        <v>135</v>
      </c>
      <c r="E3" s="191"/>
      <c r="F3" s="188"/>
      <c r="G3" s="188"/>
      <c r="H3" s="188"/>
      <c r="I3" s="188"/>
      <c r="J3" s="188"/>
      <c r="K3" s="188"/>
      <c r="L3" s="192"/>
      <c r="N3" s="197"/>
      <c r="O3" s="191"/>
      <c r="P3" s="188"/>
      <c r="Q3" s="188"/>
      <c r="R3" s="188"/>
      <c r="S3" s="188"/>
      <c r="T3" s="188"/>
      <c r="U3" s="188"/>
      <c r="V3" s="192"/>
      <c r="X3" s="197"/>
      <c r="Y3" s="191"/>
      <c r="Z3" s="188"/>
      <c r="AA3" s="188"/>
      <c r="AB3" s="188"/>
      <c r="AC3" s="188"/>
      <c r="AD3" s="188"/>
      <c r="AE3" s="188"/>
      <c r="AF3" s="192"/>
      <c r="AH3" s="197"/>
      <c r="AI3" s="191"/>
      <c r="AJ3" s="188"/>
      <c r="AK3" s="188"/>
      <c r="AL3" s="188"/>
      <c r="AM3" s="188"/>
      <c r="AN3" s="188"/>
      <c r="AO3" s="188"/>
      <c r="AP3" s="192"/>
      <c r="AR3" s="197"/>
      <c r="AS3" s="191"/>
      <c r="AT3" s="188"/>
      <c r="AU3" s="188"/>
      <c r="AV3" s="188"/>
      <c r="AW3" s="188"/>
      <c r="AX3" s="188"/>
      <c r="AY3" s="188"/>
      <c r="AZ3" s="195"/>
    </row>
    <row r="4">
      <c r="A4" s="198">
        <v>46118</v>
      </c>
      <c r="B4" s="199">
        <v>1441.818</v>
      </c>
      <c r="E4" s="191"/>
      <c r="F4" s="188"/>
      <c r="G4" s="188"/>
      <c r="H4" s="188"/>
      <c r="I4" s="188"/>
      <c r="J4" s="188"/>
      <c r="K4" s="188"/>
      <c r="L4" s="192"/>
      <c r="N4" s="197"/>
      <c r="O4" s="191"/>
      <c r="P4" s="188"/>
      <c r="Q4" s="188"/>
      <c r="R4" s="188"/>
      <c r="S4" s="188"/>
      <c r="T4" s="188"/>
      <c r="U4" s="188"/>
      <c r="V4" s="192"/>
      <c r="X4" s="197"/>
      <c r="Y4" s="191"/>
      <c r="Z4" s="188"/>
      <c r="AA4" s="188"/>
      <c r="AB4" s="188"/>
      <c r="AC4" s="188"/>
      <c r="AD4" s="188"/>
      <c r="AE4" s="188"/>
      <c r="AF4" s="192"/>
      <c r="AH4" s="197"/>
      <c r="AI4" s="191"/>
      <c r="AJ4" s="188"/>
      <c r="AK4" s="188"/>
      <c r="AL4" s="188"/>
      <c r="AM4" s="188"/>
      <c r="AN4" s="188"/>
      <c r="AO4" s="188"/>
      <c r="AP4" s="192"/>
      <c r="AR4" s="197"/>
      <c r="AS4" s="191"/>
      <c r="AT4" s="188"/>
      <c r="AU4" s="188"/>
      <c r="AV4" s="188"/>
      <c r="AW4" s="188"/>
      <c r="AX4" s="188"/>
      <c r="AY4" s="188"/>
      <c r="AZ4" s="195"/>
    </row>
    <row r="5">
      <c r="A5" s="198">
        <v>46119</v>
      </c>
      <c r="B5" s="199">
        <v>2807.999</v>
      </c>
      <c r="E5" s="191"/>
      <c r="F5" s="188"/>
      <c r="G5" s="188"/>
      <c r="H5" s="188"/>
      <c r="I5" s="188"/>
      <c r="J5" s="188"/>
      <c r="K5" s="188"/>
      <c r="L5" s="192"/>
      <c r="O5" s="191"/>
      <c r="P5" s="188"/>
      <c r="Q5" s="188"/>
      <c r="R5" s="188"/>
      <c r="S5" s="188"/>
      <c r="T5" s="188"/>
      <c r="U5" s="188"/>
      <c r="V5" s="192"/>
      <c r="Y5" s="191"/>
      <c r="Z5" s="188"/>
      <c r="AA5" s="188"/>
      <c r="AB5" s="188"/>
      <c r="AC5" s="188"/>
      <c r="AD5" s="188"/>
      <c r="AE5" s="188"/>
      <c r="AF5" s="192"/>
      <c r="AI5" s="191"/>
      <c r="AJ5" s="188"/>
      <c r="AK5" s="188"/>
      <c r="AL5" s="188"/>
      <c r="AM5" s="188"/>
      <c r="AN5" s="188"/>
      <c r="AO5" s="188"/>
      <c r="AP5" s="192"/>
      <c r="AS5" s="191"/>
      <c r="AT5" s="188"/>
      <c r="AU5" s="188"/>
      <c r="AV5" s="188"/>
      <c r="AW5" s="188"/>
      <c r="AX5" s="188"/>
      <c r="AY5" s="188"/>
      <c r="AZ5" s="195"/>
    </row>
    <row r="6">
      <c r="A6" s="198">
        <v>46120</v>
      </c>
      <c r="B6" s="199">
        <v>6121.999</v>
      </c>
      <c r="AZ6" s="195"/>
    </row>
    <row r="7">
      <c r="A7" s="198">
        <v>46121</v>
      </c>
      <c r="B7" s="199">
        <v>12992.181</v>
      </c>
      <c r="AZ7" s="195"/>
    </row>
    <row r="8">
      <c r="A8" s="198">
        <v>46122</v>
      </c>
      <c r="B8" s="200">
        <v>14667.999</v>
      </c>
      <c r="AZ8" s="195"/>
    </row>
    <row r="9">
      <c r="A9" s="198">
        <v>46123</v>
      </c>
      <c r="B9" s="200">
        <v>18110.363</v>
      </c>
      <c r="AZ9" s="195"/>
    </row>
    <row r="10">
      <c r="A10" s="198">
        <v>46124</v>
      </c>
      <c r="B10" s="199">
        <v>23819.272</v>
      </c>
      <c r="AZ10" s="195"/>
    </row>
    <row r="11">
      <c r="A11" s="198">
        <v>46125</v>
      </c>
      <c r="B11" s="200">
        <v>28673.818</v>
      </c>
      <c r="F11" s="201"/>
      <c r="G11" s="202"/>
      <c r="H11" s="202"/>
      <c r="I11" s="201"/>
      <c r="J11" s="203"/>
      <c r="AZ11" s="195"/>
    </row>
    <row r="12">
      <c r="A12" s="198">
        <v>46126</v>
      </c>
      <c r="B12" s="199">
        <v>27890.909</v>
      </c>
      <c r="F12" s="201"/>
      <c r="G12" s="204"/>
      <c r="H12" s="202"/>
      <c r="I12" s="205"/>
      <c r="J12" s="205"/>
      <c r="AZ12" s="195"/>
    </row>
    <row r="13">
      <c r="A13" s="198">
        <v>46127</v>
      </c>
      <c r="B13" s="199">
        <v>24601.818</v>
      </c>
      <c r="F13" s="201"/>
      <c r="G13" s="204"/>
      <c r="H13" s="202"/>
      <c r="I13" s="205"/>
      <c r="J13" s="205"/>
      <c r="AZ13" s="195"/>
    </row>
    <row r="14">
      <c r="A14" s="198">
        <v>46128</v>
      </c>
      <c r="B14" s="199">
        <v>28717.636</v>
      </c>
      <c r="F14" s="201"/>
      <c r="G14" s="204"/>
      <c r="H14" s="202"/>
      <c r="I14" s="205"/>
      <c r="J14" s="205"/>
      <c r="AZ14" s="195"/>
    </row>
    <row r="15">
      <c r="A15" s="198">
        <v>46129</v>
      </c>
      <c r="B15" s="199">
        <v>30325.272</v>
      </c>
      <c r="AZ15" s="195"/>
    </row>
    <row r="16">
      <c r="A16" s="198">
        <v>46130</v>
      </c>
      <c r="B16" s="199">
        <v>24806.909</v>
      </c>
      <c r="AZ16" s="195"/>
    </row>
    <row r="17">
      <c r="A17" s="198">
        <v>46131</v>
      </c>
      <c r="B17" s="199">
        <v>25581.636</v>
      </c>
      <c r="AZ17" s="195"/>
    </row>
    <row r="18">
      <c r="A18" s="198">
        <v>46132</v>
      </c>
      <c r="B18" s="200">
        <v>31979.818</v>
      </c>
      <c r="AZ18" s="195"/>
    </row>
    <row r="19">
      <c r="A19" s="198">
        <v>46133</v>
      </c>
      <c r="B19" s="199">
        <v>35093.818</v>
      </c>
      <c r="AZ19" s="195"/>
    </row>
    <row r="20">
      <c r="A20" s="198">
        <v>46134</v>
      </c>
      <c r="B20" s="199">
        <v>36809.454</v>
      </c>
      <c r="AZ20" s="195"/>
    </row>
    <row r="21">
      <c r="A21" s="198">
        <v>46135</v>
      </c>
      <c r="B21" s="199">
        <v>36781.636</v>
      </c>
      <c r="AZ21" s="195"/>
    </row>
    <row r="22">
      <c r="A22" s="198">
        <v>46136</v>
      </c>
      <c r="B22" s="200">
        <v>49672.909</v>
      </c>
      <c r="AZ22" s="195"/>
    </row>
    <row r="23">
      <c r="A23" s="198">
        <v>46137</v>
      </c>
      <c r="B23" s="199">
        <v>53430.181</v>
      </c>
      <c r="AZ23" s="195"/>
    </row>
    <row r="24">
      <c r="A24" s="198">
        <v>46138</v>
      </c>
      <c r="B24" s="200">
        <v>49775.454</v>
      </c>
      <c r="AZ24" s="195"/>
    </row>
    <row r="25">
      <c r="A25" s="198">
        <v>46139</v>
      </c>
      <c r="B25" s="199">
        <v>50537.999</v>
      </c>
      <c r="AZ25" s="195"/>
    </row>
    <row r="26">
      <c r="A26" s="198">
        <v>46140</v>
      </c>
      <c r="B26" s="199">
        <v>49787.454</v>
      </c>
      <c r="AZ26" s="195"/>
    </row>
    <row r="27">
      <c r="A27" s="198">
        <v>46141</v>
      </c>
      <c r="B27" s="199">
        <v>57009.454</v>
      </c>
      <c r="AZ27" s="195"/>
    </row>
    <row r="28">
      <c r="A28" s="198">
        <v>46142</v>
      </c>
      <c r="B28" s="199">
        <v>66348.181</v>
      </c>
      <c r="AZ28" s="195"/>
    </row>
    <row r="29">
      <c r="A29" s="198">
        <v>46143</v>
      </c>
      <c r="B29" s="199">
        <v>61733.454</v>
      </c>
      <c r="AZ29" s="195"/>
    </row>
    <row r="30">
      <c r="A30" s="198">
        <v>46144</v>
      </c>
      <c r="B30" s="199">
        <v>54131.272</v>
      </c>
      <c r="AZ30" s="195"/>
    </row>
    <row r="31">
      <c r="A31" s="198">
        <v>46145</v>
      </c>
      <c r="B31" s="199">
        <v>50869.272</v>
      </c>
      <c r="AZ31" s="195"/>
    </row>
    <row r="32">
      <c r="A32" s="198">
        <v>46146</v>
      </c>
      <c r="B32" s="199">
        <v>52676.545</v>
      </c>
      <c r="C32" s="206"/>
      <c r="D32" s="190"/>
      <c r="AZ32" s="195"/>
    </row>
    <row r="33">
      <c r="A33" s="198">
        <v>46147</v>
      </c>
      <c r="B33" s="199">
        <v>55213.09</v>
      </c>
      <c r="C33" s="206"/>
      <c r="D33" s="190"/>
      <c r="AZ33" s="195"/>
    </row>
    <row r="34">
      <c r="A34" s="198">
        <v>46148</v>
      </c>
      <c r="B34" s="199">
        <v>49712.545</v>
      </c>
      <c r="C34" s="206"/>
      <c r="D34" s="190"/>
      <c r="AZ34" s="195"/>
    </row>
    <row r="35">
      <c r="A35" s="198">
        <v>46149</v>
      </c>
      <c r="B35" s="199">
        <v>55749.999</v>
      </c>
      <c r="C35" s="207"/>
      <c r="D35" s="190"/>
      <c r="AZ35" s="208"/>
    </row>
    <row r="36">
      <c r="A36" s="198">
        <v>46150</v>
      </c>
      <c r="B36" s="199">
        <v>53153.636</v>
      </c>
      <c r="C36" s="207"/>
      <c r="D36" s="190"/>
      <c r="AZ36" s="208"/>
    </row>
    <row r="37">
      <c r="A37" s="198">
        <v>46151</v>
      </c>
      <c r="B37" s="199">
        <v>53380.727</v>
      </c>
      <c r="C37" s="207"/>
      <c r="D37" s="190"/>
      <c r="AZ37" s="192"/>
    </row>
    <row r="38">
      <c r="A38" s="198">
        <v>46152</v>
      </c>
      <c r="B38" s="199">
        <v>42517.454</v>
      </c>
      <c r="C38" s="207"/>
      <c r="D38" s="190"/>
    </row>
    <row r="39">
      <c r="A39" s="198">
        <v>46153</v>
      </c>
      <c r="B39" s="199">
        <v>44677.272</v>
      </c>
      <c r="C39" s="207"/>
      <c r="D39" s="190"/>
    </row>
    <row r="40">
      <c r="A40" s="198">
        <v>46154</v>
      </c>
      <c r="B40" s="199">
        <v>46415.818</v>
      </c>
      <c r="C40" s="207"/>
      <c r="D40" s="190"/>
    </row>
    <row r="41">
      <c r="A41" s="198">
        <v>46155</v>
      </c>
      <c r="B41" s="199">
        <v>52659.09</v>
      </c>
      <c r="C41" s="207"/>
      <c r="D41" s="190"/>
    </row>
    <row r="42">
      <c r="A42" s="198">
        <v>46156</v>
      </c>
      <c r="B42" s="199">
        <v>41419.818</v>
      </c>
      <c r="C42" s="207"/>
      <c r="D42" s="190"/>
    </row>
    <row r="43">
      <c r="A43" s="198">
        <v>46157</v>
      </c>
      <c r="B43" s="199">
        <v>53131.636</v>
      </c>
      <c r="C43" s="207"/>
      <c r="D43" s="190"/>
    </row>
    <row r="44">
      <c r="A44" s="198">
        <v>46158</v>
      </c>
      <c r="B44" s="199">
        <v>53532.909</v>
      </c>
      <c r="C44" s="207"/>
      <c r="D44" s="190"/>
    </row>
    <row r="45">
      <c r="A45" s="198">
        <v>46159</v>
      </c>
      <c r="B45" s="199">
        <v>49029.818</v>
      </c>
      <c r="C45" s="207"/>
      <c r="D45" s="190"/>
    </row>
    <row r="46">
      <c r="A46" s="198">
        <v>46160</v>
      </c>
      <c r="B46" s="199">
        <v>43125.636</v>
      </c>
      <c r="C46" s="207"/>
      <c r="D46" s="190"/>
    </row>
    <row r="47">
      <c r="A47" s="198">
        <v>46161</v>
      </c>
      <c r="B47" s="199">
        <v>39286.181</v>
      </c>
      <c r="C47" s="207"/>
      <c r="D47" s="190"/>
    </row>
    <row r="48">
      <c r="A48" s="198">
        <v>46162</v>
      </c>
      <c r="B48" s="199">
        <v>41275.272</v>
      </c>
      <c r="C48" s="207"/>
      <c r="D48" s="190"/>
    </row>
    <row r="49">
      <c r="A49" s="198">
        <v>46163</v>
      </c>
      <c r="B49" s="199">
        <v>35432.545</v>
      </c>
      <c r="C49" s="207"/>
      <c r="D49" s="190"/>
    </row>
    <row r="50">
      <c r="A50" s="198">
        <v>46164</v>
      </c>
      <c r="B50" s="199">
        <v>34767.09</v>
      </c>
      <c r="C50" s="207"/>
      <c r="D50" s="190"/>
    </row>
    <row r="51">
      <c r="A51" s="198">
        <v>46165</v>
      </c>
      <c r="B51" s="199">
        <v>35935.818</v>
      </c>
      <c r="C51" s="207"/>
      <c r="D51" s="190"/>
    </row>
    <row r="52">
      <c r="A52" s="198">
        <v>46166</v>
      </c>
      <c r="B52" s="199">
        <v>28112.181</v>
      </c>
      <c r="C52" s="207"/>
      <c r="D52" s="190"/>
    </row>
    <row r="53">
      <c r="A53" s="198">
        <v>46167</v>
      </c>
      <c r="B53" s="199">
        <v>31297.454</v>
      </c>
      <c r="C53" s="207"/>
      <c r="D53" s="190"/>
    </row>
    <row r="54">
      <c r="A54" s="198">
        <v>46168</v>
      </c>
      <c r="B54" s="199">
        <v>25114.909</v>
      </c>
      <c r="C54" s="207"/>
      <c r="D54" s="190"/>
    </row>
    <row r="55">
      <c r="A55" s="198">
        <v>46169</v>
      </c>
      <c r="B55" s="199">
        <v>23429.09</v>
      </c>
      <c r="C55" s="207"/>
      <c r="D55" s="190"/>
    </row>
    <row r="56">
      <c r="A56" s="198">
        <v>46170</v>
      </c>
      <c r="B56" s="199"/>
      <c r="C56" s="207"/>
      <c r="D56" s="190"/>
    </row>
    <row r="57">
      <c r="A57" s="198">
        <v>46171</v>
      </c>
      <c r="B57" s="199"/>
      <c r="C57" s="207"/>
      <c r="D57" s="190"/>
    </row>
    <row r="58">
      <c r="A58" s="198">
        <v>46172</v>
      </c>
      <c r="B58" s="199"/>
      <c r="C58" s="207"/>
      <c r="D58" s="190"/>
    </row>
    <row r="59">
      <c r="A59" s="198">
        <v>46173</v>
      </c>
      <c r="B59" s="199"/>
      <c r="C59" s="207"/>
      <c r="D59" s="190"/>
    </row>
    <row r="60">
      <c r="A60" s="198">
        <v>46174</v>
      </c>
      <c r="B60" s="199"/>
      <c r="C60" s="207"/>
      <c r="D60" s="190"/>
    </row>
    <row r="61">
      <c r="A61" s="198">
        <v>46175</v>
      </c>
      <c r="B61" s="199"/>
      <c r="C61" s="207"/>
      <c r="D61" s="190"/>
    </row>
    <row r="62">
      <c r="A62" s="198">
        <v>46176</v>
      </c>
      <c r="B62" s="199"/>
      <c r="C62" s="207"/>
      <c r="D62" s="190"/>
    </row>
    <row r="63">
      <c r="A63" s="198">
        <v>46177</v>
      </c>
      <c r="B63" s="199"/>
      <c r="C63" s="207"/>
      <c r="D63" s="190"/>
    </row>
    <row r="64">
      <c r="A64" s="198">
        <v>46178</v>
      </c>
      <c r="B64" s="199"/>
      <c r="C64" s="207"/>
      <c r="D64" s="190"/>
    </row>
    <row r="65">
      <c r="A65" s="198">
        <v>46179</v>
      </c>
      <c r="B65" s="199"/>
      <c r="C65" s="207"/>
      <c r="D65" s="190"/>
    </row>
    <row r="66">
      <c r="B66" s="209">
        <f>SUM(B4:B65)</f>
      </c>
      <c r="C66" s="207"/>
      <c r="D66" s="190"/>
    </row>
    <row r="67">
      <c r="C67" s="207"/>
      <c r="D67" s="190"/>
    </row>
    <row r="68">
      <c r="C68" s="207"/>
      <c r="D68" s="190"/>
    </row>
    <row r="69">
      <c r="C69" s="207"/>
      <c r="D69" s="190"/>
    </row>
    <row r="70">
      <c r="C70" s="207"/>
      <c r="D70" s="190"/>
    </row>
    <row r="71">
      <c r="C71" s="207"/>
      <c r="D71" s="190"/>
    </row>
    <row r="72">
      <c r="B72" s="192"/>
      <c r="C72" s="207"/>
      <c r="D72" s="190"/>
    </row>
    <row r="73">
      <c r="B73" s="192"/>
      <c r="C73" s="207"/>
      <c r="D73" s="190"/>
    </row>
    <row r="74">
      <c r="B74" s="192"/>
      <c r="C74" s="207"/>
      <c r="D74" s="190"/>
    </row>
    <row r="75">
      <c r="B75" s="192"/>
      <c r="C75" s="207"/>
      <c r="D75" s="190"/>
    </row>
    <row r="76">
      <c r="B76" s="192"/>
      <c r="C76" s="207"/>
      <c r="D76" s="190"/>
    </row>
    <row r="77">
      <c r="B77" s="192"/>
      <c r="C77" s="207"/>
      <c r="D77" s="190"/>
    </row>
    <row r="78">
      <c r="B78" s="192"/>
      <c r="C78" s="207"/>
      <c r="D78" s="190"/>
    </row>
    <row r="79">
      <c r="B79" s="192"/>
      <c r="C79" s="207"/>
      <c r="D79" s="190"/>
    </row>
    <row r="80">
      <c r="B80" s="192"/>
      <c r="C80" s="207"/>
      <c r="D80" s="190"/>
    </row>
    <row r="81">
      <c r="B81" s="192"/>
      <c r="C81" s="207"/>
      <c r="D81" s="190"/>
    </row>
    <row r="82">
      <c r="B82" s="192"/>
      <c r="C82" s="207"/>
      <c r="D82" s="190"/>
    </row>
    <row r="83">
      <c r="B83" s="192"/>
      <c r="C83" s="207"/>
      <c r="D83" s="190"/>
    </row>
    <row r="84">
      <c r="B84" s="192"/>
      <c r="C84" s="207"/>
      <c r="D84" s="190"/>
    </row>
    <row r="85">
      <c r="B85" s="192"/>
      <c r="C85" s="207"/>
      <c r="D85" s="190"/>
    </row>
    <row r="86">
      <c r="B86" s="192"/>
      <c r="C86" s="207"/>
      <c r="D86" s="190"/>
    </row>
    <row r="87">
      <c r="B87" s="192"/>
      <c r="C87" s="207"/>
      <c r="D87" s="190"/>
    </row>
    <row r="88">
      <c r="B88" s="192"/>
      <c r="C88" s="207"/>
      <c r="D88" s="190"/>
    </row>
    <row r="89">
      <c r="B89" s="192"/>
      <c r="C89" s="207"/>
      <c r="D89" s="190"/>
    </row>
    <row r="90">
      <c r="B90" s="192"/>
      <c r="C90" s="207"/>
      <c r="D90" s="190"/>
    </row>
    <row r="91">
      <c r="B91" s="192"/>
      <c r="C91" s="207"/>
      <c r="D91" s="190"/>
    </row>
    <row r="92">
      <c r="B92" s="192"/>
      <c r="C92" s="207"/>
      <c r="D92" s="190"/>
    </row>
    <row r="93">
      <c r="B93" s="192"/>
      <c r="C93" s="207"/>
      <c r="D93" s="190"/>
    </row>
    <row r="94">
      <c r="B94" s="192"/>
      <c r="C94" s="207"/>
      <c r="D94" s="190"/>
    </row>
    <row r="95">
      <c r="B95" s="192"/>
      <c r="C95" s="207"/>
      <c r="D95" s="190"/>
    </row>
    <row r="96">
      <c r="B96" s="192"/>
      <c r="C96" s="207"/>
      <c r="D96" s="190"/>
    </row>
    <row r="97">
      <c r="B97" s="192"/>
      <c r="C97" s="207"/>
      <c r="D97" s="190"/>
    </row>
    <row r="98">
      <c r="B98" s="192"/>
      <c r="C98" s="207"/>
      <c r="D98" s="190"/>
    </row>
    <row r="99">
      <c r="B99" s="192"/>
      <c r="C99" s="207"/>
      <c r="D99" s="190"/>
    </row>
    <row r="100">
      <c r="B100" s="192"/>
      <c r="C100" s="207"/>
      <c r="D100" s="190"/>
    </row>
    <row r="101">
      <c r="B101" s="192"/>
      <c r="C101" s="207"/>
      <c r="D101" s="190"/>
    </row>
    <row r="102">
      <c r="B102" s="192"/>
      <c r="C102" s="207"/>
      <c r="D102" s="190"/>
    </row>
    <row r="103">
      <c r="B103" s="192"/>
      <c r="C103" s="207"/>
      <c r="D103" s="190"/>
    </row>
    <row r="104">
      <c r="B104" s="192"/>
      <c r="C104" s="207"/>
      <c r="D104" s="190"/>
    </row>
    <row r="105">
      <c r="B105" s="192"/>
      <c r="C105" s="207"/>
      <c r="D105" s="190"/>
    </row>
    <row r="106">
      <c r="B106" s="192"/>
      <c r="C106" s="207"/>
      <c r="D106" s="190"/>
    </row>
    <row r="107">
      <c r="B107" s="192"/>
      <c r="C107" s="207"/>
      <c r="D107" s="190"/>
    </row>
    <row r="108">
      <c r="B108" s="192"/>
      <c r="C108" s="207"/>
      <c r="D108" s="190"/>
    </row>
    <row r="109">
      <c r="B109" s="192"/>
      <c r="C109" s="207"/>
      <c r="D109" s="190"/>
    </row>
    <row r="110">
      <c r="B110" s="192"/>
      <c r="C110" s="207"/>
      <c r="D110" s="190"/>
    </row>
    <row r="111">
      <c r="B111" s="192"/>
      <c r="C111" s="207"/>
      <c r="D111" s="190"/>
    </row>
    <row r="112">
      <c r="B112" s="192"/>
      <c r="C112" s="207"/>
      <c r="D112" s="190"/>
    </row>
    <row r="113">
      <c r="B113" s="192"/>
      <c r="C113" s="207"/>
      <c r="D113" s="190"/>
    </row>
    <row r="114">
      <c r="B114" s="192"/>
      <c r="C114" s="207"/>
      <c r="D114" s="190"/>
    </row>
    <row r="115">
      <c r="B115" s="192"/>
      <c r="C115" s="207"/>
      <c r="D115" s="190"/>
    </row>
    <row r="116">
      <c r="B116" s="192"/>
      <c r="C116" s="207"/>
      <c r="D116" s="190"/>
    </row>
    <row r="117">
      <c r="B117" s="192"/>
      <c r="C117" s="207"/>
      <c r="D117" s="190"/>
    </row>
    <row r="118">
      <c r="B118" s="192"/>
      <c r="C118" s="207"/>
      <c r="D118" s="190"/>
    </row>
    <row r="119">
      <c r="B119" s="192"/>
      <c r="C119" s="207"/>
      <c r="D119" s="190"/>
    </row>
    <row r="120">
      <c r="B120" s="192"/>
      <c r="C120" s="207"/>
      <c r="D120" s="190"/>
    </row>
    <row r="121">
      <c r="B121" s="192"/>
      <c r="C121" s="207"/>
      <c r="D121" s="190"/>
    </row>
    <row r="122">
      <c r="B122" s="192"/>
      <c r="C122" s="207"/>
      <c r="D122" s="190"/>
    </row>
    <row r="123">
      <c r="B123" s="192"/>
      <c r="C123" s="207"/>
      <c r="D123" s="190"/>
    </row>
    <row r="124">
      <c r="B124" s="192"/>
      <c r="C124" s="207"/>
      <c r="D124" s="190"/>
    </row>
    <row r="125">
      <c r="B125" s="192"/>
      <c r="C125" s="207"/>
      <c r="D125" s="190"/>
    </row>
    <row r="126">
      <c r="B126" s="192"/>
      <c r="C126" s="207"/>
      <c r="D126" s="190"/>
    </row>
    <row r="127">
      <c r="B127" s="192"/>
      <c r="C127" s="207"/>
      <c r="D127" s="190"/>
    </row>
    <row r="128">
      <c r="B128" s="192"/>
      <c r="C128" s="207"/>
      <c r="D128" s="190"/>
    </row>
    <row r="129">
      <c r="B129" s="192"/>
      <c r="C129" s="207"/>
      <c r="D129" s="190"/>
    </row>
    <row r="130">
      <c r="B130" s="192"/>
      <c r="C130" s="207"/>
      <c r="D130" s="190"/>
    </row>
    <row r="131">
      <c r="B131" s="192"/>
      <c r="C131" s="207"/>
      <c r="D131" s="190"/>
    </row>
    <row r="132">
      <c r="B132" s="192"/>
      <c r="C132" s="207"/>
      <c r="D132" s="190"/>
    </row>
    <row r="133">
      <c r="B133" s="192"/>
      <c r="C133" s="207"/>
      <c r="D133" s="190"/>
    </row>
    <row r="134">
      <c r="B134" s="192"/>
      <c r="C134" s="207"/>
      <c r="D134" s="190"/>
    </row>
    <row r="135">
      <c r="B135" s="192"/>
      <c r="C135" s="207"/>
      <c r="D135" s="190"/>
    </row>
    <row r="136">
      <c r="B136" s="192"/>
      <c r="C136" s="207"/>
      <c r="D136" s="190"/>
    </row>
    <row r="137">
      <c r="B137" s="192"/>
      <c r="C137" s="207"/>
      <c r="D137" s="190"/>
    </row>
    <row r="138">
      <c r="B138" s="192"/>
      <c r="C138" s="207"/>
      <c r="D138" s="190"/>
    </row>
    <row r="139">
      <c r="B139" s="192"/>
      <c r="C139" s="207"/>
      <c r="D139" s="190"/>
    </row>
    <row r="140">
      <c r="B140" s="192"/>
      <c r="C140" s="207"/>
      <c r="D140" s="190"/>
    </row>
    <row r="141">
      <c r="B141" s="192"/>
      <c r="C141" s="207"/>
      <c r="D141" s="190"/>
    </row>
    <row r="142">
      <c r="B142" s="192"/>
      <c r="C142" s="207"/>
      <c r="D142" s="190"/>
    </row>
    <row r="143">
      <c r="B143" s="192"/>
      <c r="C143" s="207"/>
      <c r="D143" s="190"/>
    </row>
    <row r="144">
      <c r="B144" s="192"/>
      <c r="C144" s="207"/>
      <c r="D144" s="190"/>
    </row>
    <row r="145">
      <c r="B145" s="192"/>
      <c r="C145" s="207"/>
      <c r="D145" s="190"/>
    </row>
    <row r="146">
      <c r="B146" s="192"/>
      <c r="C146" s="207"/>
      <c r="D146" s="190"/>
    </row>
    <row r="147">
      <c r="B147" s="192"/>
      <c r="C147" s="207"/>
      <c r="D147" s="190"/>
    </row>
    <row r="148">
      <c r="B148" s="192"/>
      <c r="C148" s="207"/>
      <c r="D148" s="190"/>
    </row>
    <row r="149">
      <c r="B149" s="192"/>
      <c r="C149" s="207"/>
      <c r="D149" s="190"/>
    </row>
    <row r="150">
      <c r="B150" s="192"/>
      <c r="C150" s="207"/>
      <c r="D150" s="190"/>
    </row>
    <row r="151">
      <c r="B151" s="192"/>
      <c r="C151" s="207"/>
      <c r="D151" s="190"/>
    </row>
    <row r="152">
      <c r="B152" s="192"/>
      <c r="C152" s="207"/>
      <c r="D152" s="190"/>
    </row>
    <row r="153">
      <c r="B153" s="192"/>
      <c r="C153" s="207"/>
      <c r="D153" s="190"/>
    </row>
    <row r="154">
      <c r="B154" s="192"/>
      <c r="C154" s="207"/>
      <c r="D154" s="190"/>
    </row>
    <row r="155">
      <c r="B155" s="192"/>
      <c r="C155" s="207"/>
      <c r="D155" s="190"/>
    </row>
    <row r="156">
      <c r="B156" s="192"/>
      <c r="C156" s="207"/>
      <c r="D156" s="190"/>
    </row>
    <row r="157">
      <c r="B157" s="192"/>
      <c r="C157" s="207"/>
      <c r="D157" s="190"/>
    </row>
    <row r="158">
      <c r="B158" s="192"/>
      <c r="C158" s="207"/>
      <c r="D158" s="190"/>
    </row>
    <row r="159">
      <c r="B159" s="192"/>
      <c r="C159" s="207"/>
      <c r="D159" s="190"/>
    </row>
    <row r="160">
      <c r="B160" s="192"/>
      <c r="C160" s="207"/>
      <c r="D160" s="190"/>
    </row>
    <row r="161">
      <c r="B161" s="192"/>
      <c r="C161" s="207"/>
      <c r="D161" s="190"/>
    </row>
    <row r="162">
      <c r="B162" s="192"/>
      <c r="C162" s="207"/>
      <c r="D162" s="190"/>
    </row>
    <row r="163">
      <c r="B163" s="192"/>
      <c r="C163" s="207"/>
      <c r="D163" s="190"/>
    </row>
    <row r="164">
      <c r="B164" s="192"/>
      <c r="C164" s="207"/>
      <c r="D164" s="190"/>
    </row>
    <row r="165">
      <c r="B165" s="192"/>
      <c r="C165" s="207"/>
      <c r="D165" s="190"/>
    </row>
    <row r="166">
      <c r="B166" s="192"/>
      <c r="C166" s="207"/>
      <c r="D166" s="190"/>
    </row>
    <row r="167">
      <c r="B167" s="192"/>
      <c r="C167" s="207"/>
      <c r="D167" s="190"/>
    </row>
    <row r="168">
      <c r="B168" s="192"/>
      <c r="C168" s="207"/>
      <c r="D168" s="190"/>
    </row>
    <row r="169">
      <c r="B169" s="192"/>
      <c r="C169" s="207"/>
      <c r="D169" s="190"/>
    </row>
    <row r="170">
      <c r="B170" s="192"/>
      <c r="C170" s="207"/>
      <c r="D170" s="190"/>
    </row>
    <row r="171">
      <c r="B171" s="192"/>
      <c r="C171" s="207"/>
      <c r="D171" s="190"/>
    </row>
    <row r="172">
      <c r="B172" s="192"/>
      <c r="C172" s="207"/>
      <c r="D172" s="190"/>
    </row>
    <row r="173">
      <c r="B173" s="192"/>
      <c r="C173" s="207"/>
      <c r="D173" s="190"/>
    </row>
    <row r="174">
      <c r="B174" s="192"/>
      <c r="C174" s="207"/>
      <c r="D174" s="190"/>
    </row>
    <row r="175">
      <c r="B175" s="192"/>
      <c r="C175" s="207"/>
      <c r="D175" s="190"/>
    </row>
    <row r="176">
      <c r="B176" s="192"/>
      <c r="C176" s="207"/>
      <c r="D176" s="190"/>
    </row>
    <row r="177">
      <c r="B177" s="192"/>
      <c r="C177" s="207"/>
      <c r="D177" s="190"/>
    </row>
    <row r="178">
      <c r="B178" s="192"/>
      <c r="C178" s="207"/>
      <c r="D178" s="190"/>
    </row>
    <row r="179">
      <c r="B179" s="192"/>
      <c r="C179" s="207"/>
      <c r="D179" s="190"/>
    </row>
    <row r="180">
      <c r="B180" s="192"/>
      <c r="C180" s="207"/>
      <c r="D180" s="190"/>
    </row>
    <row r="181">
      <c r="B181" s="192"/>
      <c r="C181" s="207"/>
      <c r="D181" s="190"/>
    </row>
    <row r="182">
      <c r="B182" s="192"/>
      <c r="C182" s="207"/>
      <c r="D182" s="190"/>
    </row>
    <row r="183">
      <c r="B183" s="192"/>
      <c r="C183" s="207"/>
      <c r="D183" s="190"/>
    </row>
    <row r="184">
      <c r="B184" s="192"/>
      <c r="C184" s="207"/>
      <c r="D184" s="190"/>
    </row>
    <row r="185">
      <c r="B185" s="192"/>
      <c r="C185" s="207"/>
      <c r="D185" s="190"/>
    </row>
    <row r="186">
      <c r="B186" s="192"/>
      <c r="C186" s="207"/>
      <c r="D186" s="190"/>
    </row>
    <row r="187">
      <c r="B187" s="192"/>
      <c r="C187" s="207"/>
      <c r="D187" s="190"/>
    </row>
    <row r="188">
      <c r="B188" s="192"/>
      <c r="C188" s="207"/>
      <c r="D188" s="190"/>
    </row>
    <row r="189">
      <c r="B189" s="192"/>
      <c r="C189" s="207"/>
      <c r="D189" s="190"/>
    </row>
    <row r="190">
      <c r="B190" s="192"/>
      <c r="C190" s="207"/>
      <c r="D190" s="190"/>
    </row>
    <row r="191">
      <c r="B191" s="192"/>
      <c r="C191" s="207"/>
      <c r="D191" s="190"/>
    </row>
    <row r="192">
      <c r="B192" s="192"/>
      <c r="C192" s="207"/>
      <c r="D192" s="190"/>
    </row>
    <row r="193">
      <c r="B193" s="192"/>
      <c r="C193" s="207"/>
      <c r="D193" s="190"/>
    </row>
    <row r="194">
      <c r="B194" s="192"/>
      <c r="C194" s="207"/>
      <c r="D194" s="190"/>
    </row>
    <row r="195">
      <c r="B195" s="192"/>
      <c r="C195" s="207"/>
      <c r="D195" s="190"/>
    </row>
  </sheetData>
  <drawing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5" min="5" style="0" width="14"/>
    <col collapsed="false" customWidth="true" hidden="false" max="9" min="9" style="0" width="14"/>
    <col collapsed="false" customWidth="true" hidden="false" max="13" min="13" style="0" width="14"/>
    <col collapsed="false" customWidth="true" hidden="false" max="17" min="17" style="0" width="20"/>
    <col collapsed="false" customWidth="true" hidden="false" max="21" min="21" style="0" width="14"/>
    <col collapsed="false" customWidth="true" hidden="false" max="6" min="6" style="0" width="14"/>
    <col collapsed="false" customWidth="true" hidden="false" max="10" min="10" style="0" width="14"/>
    <col collapsed="false" customWidth="true" hidden="false" max="14" min="14" style="0" width="14"/>
    <col collapsed="false" customWidth="true" hidden="false" max="18" min="18" style="0" width="14"/>
    <col collapsed="false" customWidth="true" hidden="false" max="7" min="7" style="0" width="14"/>
    <col collapsed="false" customWidth="true" hidden="false" max="11" min="11" style="0" width="14"/>
    <col collapsed="false" customWidth="true" hidden="false" max="15" min="15" style="0" width="14"/>
    <col collapsed="false" customWidth="true" hidden="false" max="19" min="19" style="0" width="16"/>
    <col collapsed="false" customWidth="true" hidden="false" max="8" min="8" style="0" width="14"/>
    <col collapsed="false" customWidth="true" hidden="false" max="12" min="12" style="0" width="14"/>
    <col collapsed="false" customWidth="true" hidden="false" max="16" min="16" style="0" width="14"/>
    <col collapsed="false" customWidth="true" hidden="false" max="20" min="20" style="0" width="14"/>
  </cols>
  <sheetData>
    <row r="1">
      <c r="A1" s="210" t="s">
        <v>136</v>
      </c>
      <c r="B1" s="210" t="s">
        <v>137</v>
      </c>
      <c r="C1" s="210" t="s">
        <v>138</v>
      </c>
      <c r="D1" s="211"/>
      <c r="E1" s="210" t="s">
        <v>139</v>
      </c>
      <c r="F1" s="212" t="s">
        <v>140</v>
      </c>
      <c r="G1" s="213" t="s">
        <v>141</v>
      </c>
      <c r="H1" s="214" t="s">
        <v>142</v>
      </c>
      <c r="I1" s="213" t="s">
        <v>143</v>
      </c>
      <c r="J1" s="214" t="s">
        <v>144</v>
      </c>
      <c r="K1" s="213" t="s">
        <v>145</v>
      </c>
      <c r="L1" s="214" t="s">
        <v>146</v>
      </c>
      <c r="M1" s="213" t="s">
        <v>147</v>
      </c>
      <c r="N1" s="214" t="s">
        <v>148</v>
      </c>
      <c r="O1" s="213" t="s">
        <v>149</v>
      </c>
      <c r="P1" s="211"/>
      <c r="Q1" s="215" t="s">
        <v>150</v>
      </c>
      <c r="R1" s="215"/>
      <c r="S1" s="215"/>
      <c r="T1" s="215"/>
      <c r="U1" s="211"/>
    </row>
    <row r="2">
      <c r="A2" s="216" t="s">
        <v>151</v>
      </c>
      <c r="B2" s="216">
        <v>12894</v>
      </c>
      <c r="C2" s="216">
        <v>6173</v>
      </c>
      <c r="D2" s="211"/>
      <c r="E2" s="217">
        <v>25</v>
      </c>
      <c r="F2" s="218">
        <v>1194</v>
      </c>
      <c r="G2" s="219">
        <v>45</v>
      </c>
      <c r="H2" s="218">
        <v>11</v>
      </c>
      <c r="I2" s="219">
        <v>761</v>
      </c>
      <c r="J2" s="218">
        <v>36</v>
      </c>
      <c r="K2" s="219">
        <v>12</v>
      </c>
      <c r="L2" s="218">
        <v>5</v>
      </c>
      <c r="M2" s="219">
        <v>8</v>
      </c>
      <c r="N2" s="218">
        <v>8</v>
      </c>
      <c r="O2" s="219">
        <v>37</v>
      </c>
      <c r="P2" s="211"/>
      <c r="Q2" s="220" t="s">
        <v>152</v>
      </c>
      <c r="R2" s="216" t="s">
        <v>139</v>
      </c>
      <c r="S2" s="221" t="s">
        <v>153</v>
      </c>
      <c r="T2" s="222" t="s">
        <v>154</v>
      </c>
      <c r="U2" s="211"/>
    </row>
    <row r="3">
      <c r="A3" s="216" t="s">
        <v>155</v>
      </c>
      <c r="B3" s="216">
        <v>8785</v>
      </c>
      <c r="C3" s="216">
        <v>4870</v>
      </c>
      <c r="D3" s="211"/>
      <c r="E3" s="217">
        <v>9</v>
      </c>
      <c r="F3" s="218">
        <v>323</v>
      </c>
      <c r="G3" s="219">
        <v>26</v>
      </c>
      <c r="H3" s="218">
        <v>4</v>
      </c>
      <c r="I3" s="219">
        <v>257</v>
      </c>
      <c r="J3" s="218">
        <v>21</v>
      </c>
      <c r="K3" s="219">
        <v>7</v>
      </c>
      <c r="L3" s="218">
        <v>5</v>
      </c>
      <c r="M3" s="219">
        <v>4</v>
      </c>
      <c r="N3" s="218">
        <v>2</v>
      </c>
      <c r="O3" s="219">
        <v>13</v>
      </c>
      <c r="P3" s="211"/>
      <c r="Q3" s="223">
        <v>1241798</v>
      </c>
      <c r="R3" s="216">
        <v>25</v>
      </c>
      <c r="S3" s="224">
        <v>23</v>
      </c>
      <c r="T3" s="222">
        <v>2</v>
      </c>
      <c r="U3" s="211"/>
    </row>
    <row r="4">
      <c r="A4" s="210" t="s">
        <v>156</v>
      </c>
      <c r="B4" s="225">
        <f>B3/B2</f>
      </c>
      <c r="C4" s="225">
        <f>C3/C2</f>
      </c>
      <c r="D4" s="211"/>
      <c r="E4" s="217">
        <v>16</v>
      </c>
      <c r="F4" s="218">
        <v>215</v>
      </c>
      <c r="G4" s="219">
        <v>10</v>
      </c>
      <c r="H4" s="218">
        <v>4</v>
      </c>
      <c r="I4" s="219">
        <v>76</v>
      </c>
      <c r="J4" s="218">
        <v>19</v>
      </c>
      <c r="K4" s="219">
        <v>7</v>
      </c>
      <c r="L4" s="218">
        <v>2</v>
      </c>
      <c r="M4" s="219">
        <v>5</v>
      </c>
      <c r="N4" s="218">
        <v>1</v>
      </c>
      <c r="O4" s="219">
        <v>7</v>
      </c>
      <c r="P4" s="211"/>
      <c r="Q4" s="223">
        <v>1257749</v>
      </c>
      <c r="R4" s="216">
        <v>9</v>
      </c>
      <c r="S4" s="224">
        <v>17</v>
      </c>
      <c r="T4" s="222">
        <v>1</v>
      </c>
      <c r="U4" s="211"/>
    </row>
    <row r="5">
      <c r="A5" s="216" t="s">
        <v>157</v>
      </c>
      <c r="B5" s="216">
        <v>4083</v>
      </c>
      <c r="C5" s="216">
        <v>1289</v>
      </c>
      <c r="D5" s="211"/>
      <c r="E5" s="217">
        <v>19</v>
      </c>
      <c r="F5" s="218">
        <v>157</v>
      </c>
      <c r="G5" s="219">
        <v>5</v>
      </c>
      <c r="H5" s="218">
        <v>4</v>
      </c>
      <c r="I5" s="219">
        <v>115</v>
      </c>
      <c r="J5" s="218">
        <v>0</v>
      </c>
      <c r="K5" s="219">
        <v>1</v>
      </c>
      <c r="L5" s="218">
        <v>0</v>
      </c>
      <c r="M5" s="219">
        <v>0</v>
      </c>
      <c r="N5" s="218">
        <v>2</v>
      </c>
      <c r="O5" s="219">
        <v>12</v>
      </c>
      <c r="P5" s="211"/>
      <c r="Q5" s="223">
        <v>1084365</v>
      </c>
      <c r="R5" s="216">
        <v>16</v>
      </c>
      <c r="S5" s="224">
        <v>13</v>
      </c>
      <c r="T5" s="222">
        <v>13</v>
      </c>
      <c r="U5" s="211"/>
    </row>
    <row r="6">
      <c r="A6" s="210" t="s">
        <v>158</v>
      </c>
      <c r="B6" s="225">
        <f>B5/B2</f>
      </c>
      <c r="C6" s="225">
        <f>C5/C2</f>
      </c>
      <c r="D6" s="211"/>
      <c r="E6" s="217">
        <v>28</v>
      </c>
      <c r="F6" s="218">
        <v>91</v>
      </c>
      <c r="G6" s="219">
        <v>3</v>
      </c>
      <c r="H6" s="218">
        <v>0</v>
      </c>
      <c r="I6" s="219">
        <v>58</v>
      </c>
      <c r="J6" s="218">
        <v>1</v>
      </c>
      <c r="K6" s="219">
        <v>0</v>
      </c>
      <c r="L6" s="218">
        <v>0</v>
      </c>
      <c r="M6" s="219">
        <v>0</v>
      </c>
      <c r="N6" s="218">
        <v>0</v>
      </c>
      <c r="O6" s="219">
        <v>3</v>
      </c>
      <c r="P6" s="211"/>
      <c r="Q6" s="223">
        <v>1198821</v>
      </c>
      <c r="R6" s="216">
        <v>25</v>
      </c>
      <c r="S6" s="224">
        <v>12</v>
      </c>
      <c r="T6" s="222">
        <v>2</v>
      </c>
      <c r="U6" s="211"/>
    </row>
    <row r="7">
      <c r="A7" s="216" t="s">
        <v>159</v>
      </c>
      <c r="B7" s="216">
        <v>26</v>
      </c>
      <c r="C7" s="216">
        <v>14</v>
      </c>
      <c r="D7" s="211"/>
      <c r="E7" s="217">
        <v>26</v>
      </c>
      <c r="F7" s="218">
        <v>111</v>
      </c>
      <c r="G7" s="219">
        <v>4</v>
      </c>
      <c r="H7" s="218">
        <v>1</v>
      </c>
      <c r="I7" s="219">
        <v>14</v>
      </c>
      <c r="J7" s="218">
        <v>2</v>
      </c>
      <c r="K7" s="219">
        <v>0</v>
      </c>
      <c r="L7" s="218">
        <v>0</v>
      </c>
      <c r="M7" s="219">
        <v>0</v>
      </c>
      <c r="N7" s="218">
        <v>0</v>
      </c>
      <c r="O7" s="219">
        <v>0</v>
      </c>
      <c r="P7" s="211"/>
      <c r="Q7" s="223">
        <v>1056541</v>
      </c>
      <c r="R7" s="216">
        <v>9</v>
      </c>
      <c r="S7" s="224">
        <v>10</v>
      </c>
      <c r="T7" s="222">
        <v>2</v>
      </c>
      <c r="U7" s="211"/>
    </row>
    <row r="8">
      <c r="A8" s="210" t="s">
        <v>160</v>
      </c>
      <c r="B8" s="225">
        <f>B7/B2</f>
      </c>
      <c r="C8" s="225">
        <f>C7/C2</f>
      </c>
      <c r="D8" s="211"/>
      <c r="E8" s="217">
        <v>0</v>
      </c>
      <c r="F8" s="218">
        <v>62</v>
      </c>
      <c r="G8" s="219">
        <v>4</v>
      </c>
      <c r="H8" s="218">
        <v>0</v>
      </c>
      <c r="I8" s="219">
        <v>19</v>
      </c>
      <c r="J8" s="218">
        <v>3</v>
      </c>
      <c r="K8" s="219">
        <v>2</v>
      </c>
      <c r="L8" s="218">
        <v>1</v>
      </c>
      <c r="M8" s="219">
        <v>0</v>
      </c>
      <c r="N8" s="218">
        <v>0</v>
      </c>
      <c r="O8" s="219">
        <v>0</v>
      </c>
      <c r="P8" s="211"/>
      <c r="Q8" s="223">
        <v>1224192</v>
      </c>
      <c r="R8" s="216">
        <v>25</v>
      </c>
      <c r="S8" s="224">
        <v>9</v>
      </c>
      <c r="T8" s="222">
        <v>2</v>
      </c>
      <c r="U8" s="211"/>
    </row>
    <row r="9">
      <c r="A9" s="211"/>
      <c r="B9" s="211"/>
      <c r="C9" s="211"/>
      <c r="D9" s="211"/>
      <c r="E9" s="217">
        <v>7</v>
      </c>
      <c r="F9" s="218">
        <v>49</v>
      </c>
      <c r="G9" s="219">
        <v>1</v>
      </c>
      <c r="H9" s="218">
        <v>2</v>
      </c>
      <c r="I9" s="219">
        <v>35</v>
      </c>
      <c r="J9" s="218">
        <v>0</v>
      </c>
      <c r="K9" s="219">
        <v>0</v>
      </c>
      <c r="L9" s="218">
        <v>0</v>
      </c>
      <c r="M9" s="219">
        <v>0</v>
      </c>
      <c r="N9" s="218">
        <v>0</v>
      </c>
      <c r="O9" s="219">
        <v>3</v>
      </c>
      <c r="P9" s="211"/>
      <c r="Q9" s="223">
        <v>1223377</v>
      </c>
      <c r="R9" s="216">
        <v>0</v>
      </c>
      <c r="S9" s="224">
        <v>8</v>
      </c>
      <c r="T9" s="222">
        <v>1</v>
      </c>
      <c r="U9" s="211"/>
    </row>
    <row r="10">
      <c r="A10" s="226" t="s">
        <v>161</v>
      </c>
      <c r="B10" s="227">
        <v>2876</v>
      </c>
      <c r="C10" s="211"/>
      <c r="D10" s="211"/>
      <c r="E10" s="217">
        <v>1</v>
      </c>
      <c r="F10" s="218">
        <v>36</v>
      </c>
      <c r="G10" s="219">
        <v>1</v>
      </c>
      <c r="H10" s="218">
        <v>0</v>
      </c>
      <c r="I10" s="219">
        <v>40</v>
      </c>
      <c r="J10" s="218">
        <v>1</v>
      </c>
      <c r="K10" s="219">
        <v>0</v>
      </c>
      <c r="L10" s="218">
        <v>0</v>
      </c>
      <c r="M10" s="219">
        <v>0</v>
      </c>
      <c r="N10" s="218">
        <v>0</v>
      </c>
      <c r="O10" s="219">
        <v>1</v>
      </c>
      <c r="P10" s="211"/>
      <c r="Q10" s="223">
        <v>1114998</v>
      </c>
      <c r="R10" s="216">
        <v>2</v>
      </c>
      <c r="S10" s="224">
        <v>8</v>
      </c>
      <c r="T10" s="222">
        <v>1</v>
      </c>
      <c r="U10" s="211"/>
    </row>
    <row r="11">
      <c r="A11" s="227" t="s">
        <v>162</v>
      </c>
      <c r="B11" s="227">
        <v>38</v>
      </c>
      <c r="C11" s="211"/>
      <c r="D11" s="211"/>
      <c r="E11" s="217">
        <v>4</v>
      </c>
      <c r="F11" s="218">
        <v>20</v>
      </c>
      <c r="G11" s="219">
        <v>0</v>
      </c>
      <c r="H11" s="218">
        <v>0</v>
      </c>
      <c r="I11" s="219">
        <v>30</v>
      </c>
      <c r="J11" s="218">
        <v>0</v>
      </c>
      <c r="K11" s="219">
        <v>0</v>
      </c>
      <c r="L11" s="218">
        <v>0</v>
      </c>
      <c r="M11" s="219">
        <v>0</v>
      </c>
      <c r="N11" s="218">
        <v>1</v>
      </c>
      <c r="O11" s="219">
        <v>1</v>
      </c>
      <c r="P11" s="211"/>
      <c r="Q11" s="223">
        <v>1224981</v>
      </c>
      <c r="R11" s="216">
        <v>19</v>
      </c>
      <c r="S11" s="224">
        <v>8</v>
      </c>
      <c r="T11" s="222">
        <v>1</v>
      </c>
      <c r="U11" s="211"/>
    </row>
    <row r="12">
      <c r="A12" s="228"/>
      <c r="B12" s="229"/>
      <c r="C12" s="211"/>
      <c r="D12" s="211"/>
      <c r="E12" s="217">
        <v>2</v>
      </c>
      <c r="F12" s="218">
        <v>15</v>
      </c>
      <c r="G12" s="219">
        <v>0</v>
      </c>
      <c r="H12" s="218">
        <v>0</v>
      </c>
      <c r="I12" s="219">
        <v>5</v>
      </c>
      <c r="J12" s="218">
        <v>2</v>
      </c>
      <c r="K12" s="219">
        <v>0</v>
      </c>
      <c r="L12" s="218">
        <v>0</v>
      </c>
      <c r="M12" s="219">
        <v>0</v>
      </c>
      <c r="N12" s="218">
        <v>0</v>
      </c>
      <c r="O12" s="219">
        <v>0</v>
      </c>
      <c r="P12" s="211"/>
      <c r="Q12" s="223">
        <v>1193418</v>
      </c>
      <c r="R12" s="216">
        <v>25</v>
      </c>
      <c r="S12" s="224">
        <v>8</v>
      </c>
      <c r="T12" s="222">
        <v>8</v>
      </c>
      <c r="U12" s="211"/>
    </row>
    <row r="13">
      <c r="A13" s="210" t="s">
        <v>139</v>
      </c>
      <c r="B13" s="210" t="s">
        <v>163</v>
      </c>
      <c r="D13" s="211"/>
      <c r="E13" s="217">
        <v>6</v>
      </c>
      <c r="F13" s="218">
        <v>6</v>
      </c>
      <c r="G13" s="219">
        <v>0</v>
      </c>
      <c r="H13" s="218">
        <v>0</v>
      </c>
      <c r="I13" s="219">
        <v>7</v>
      </c>
      <c r="J13" s="218">
        <v>3</v>
      </c>
      <c r="K13" s="219">
        <v>0</v>
      </c>
      <c r="L13" s="218">
        <v>0</v>
      </c>
      <c r="M13" s="219">
        <v>0</v>
      </c>
      <c r="N13" s="218">
        <v>0</v>
      </c>
      <c r="O13" s="219">
        <v>1</v>
      </c>
      <c r="P13" s="211"/>
      <c r="Q13" s="223">
        <v>1239401</v>
      </c>
      <c r="R13" s="216">
        <v>25</v>
      </c>
      <c r="S13" s="224">
        <v>8</v>
      </c>
      <c r="T13" s="222">
        <v>1</v>
      </c>
      <c r="U13" s="211"/>
    </row>
    <row customHeight="true" ht="20" r="14">
      <c r="A14" s="230">
        <v>25</v>
      </c>
      <c r="B14" s="230">
        <v>2117</v>
      </c>
      <c r="D14" s="211"/>
      <c r="E14" s="217">
        <v>12</v>
      </c>
      <c r="F14" s="218">
        <v>3</v>
      </c>
      <c r="G14" s="219">
        <v>1</v>
      </c>
      <c r="H14" s="218">
        <v>0</v>
      </c>
      <c r="I14" s="219">
        <v>8</v>
      </c>
      <c r="J14" s="218">
        <v>0</v>
      </c>
      <c r="K14" s="219">
        <v>0</v>
      </c>
      <c r="L14" s="218">
        <v>1</v>
      </c>
      <c r="M14" s="219">
        <v>0</v>
      </c>
      <c r="N14" s="218">
        <v>0</v>
      </c>
      <c r="O14" s="219">
        <v>1</v>
      </c>
      <c r="P14" s="211"/>
      <c r="Q14" s="223">
        <v>1237925</v>
      </c>
      <c r="R14" s="216">
        <v>9</v>
      </c>
      <c r="S14" s="224">
        <v>7</v>
      </c>
      <c r="T14" s="222">
        <v>10</v>
      </c>
      <c r="U14" s="211"/>
    </row>
    <row r="15">
      <c r="A15" s="230">
        <v>9</v>
      </c>
      <c r="B15" s="230">
        <v>662</v>
      </c>
      <c r="D15" s="211"/>
      <c r="E15" s="217">
        <v>15</v>
      </c>
      <c r="F15" s="218">
        <v>0</v>
      </c>
      <c r="G15" s="219">
        <v>0</v>
      </c>
      <c r="H15" s="218">
        <v>0</v>
      </c>
      <c r="I15" s="219">
        <v>6</v>
      </c>
      <c r="J15" s="218">
        <v>1</v>
      </c>
      <c r="K15" s="219">
        <v>1</v>
      </c>
      <c r="L15" s="218">
        <v>1</v>
      </c>
      <c r="M15" s="219">
        <v>0</v>
      </c>
      <c r="N15" s="218">
        <v>0</v>
      </c>
      <c r="O15" s="219">
        <v>1</v>
      </c>
      <c r="P15" s="211"/>
      <c r="Q15" s="223">
        <v>1144753</v>
      </c>
      <c r="R15" s="216">
        <v>19</v>
      </c>
      <c r="S15" s="224">
        <v>7</v>
      </c>
      <c r="T15" s="218">
        <v>0</v>
      </c>
      <c r="U15" s="211"/>
    </row>
    <row r="16">
      <c r="A16" s="230">
        <v>16</v>
      </c>
      <c r="B16" s="230">
        <v>346</v>
      </c>
      <c r="D16" s="211"/>
      <c r="E16" s="217">
        <v>11</v>
      </c>
      <c r="F16" s="218">
        <v>6</v>
      </c>
      <c r="G16" s="219">
        <v>0</v>
      </c>
      <c r="H16" s="218">
        <v>0</v>
      </c>
      <c r="I16" s="219">
        <v>2</v>
      </c>
      <c r="J16" s="218">
        <v>0</v>
      </c>
      <c r="K16" s="219">
        <v>0</v>
      </c>
      <c r="L16" s="218">
        <v>0</v>
      </c>
      <c r="M16" s="219">
        <v>0</v>
      </c>
      <c r="N16" s="218">
        <v>0</v>
      </c>
      <c r="O16" s="219">
        <v>0</v>
      </c>
      <c r="P16" s="211"/>
      <c r="Q16" s="223">
        <v>1135208</v>
      </c>
      <c r="R16" s="216">
        <v>25</v>
      </c>
      <c r="S16" s="224">
        <v>7</v>
      </c>
      <c r="T16" s="222">
        <v>5</v>
      </c>
      <c r="U16" s="211"/>
    </row>
    <row r="17">
      <c r="A17" s="230">
        <v>19</v>
      </c>
      <c r="B17" s="230">
        <v>296</v>
      </c>
      <c r="D17" s="211"/>
      <c r="E17" s="217">
        <v>21</v>
      </c>
      <c r="F17" s="218">
        <v>3</v>
      </c>
      <c r="G17" s="219">
        <v>0</v>
      </c>
      <c r="H17" s="218">
        <v>0</v>
      </c>
      <c r="I17" s="219">
        <v>4</v>
      </c>
      <c r="J17" s="218">
        <v>0</v>
      </c>
      <c r="K17" s="219">
        <v>0</v>
      </c>
      <c r="L17" s="218">
        <v>0</v>
      </c>
      <c r="M17" s="219">
        <v>0</v>
      </c>
      <c r="N17" s="218">
        <v>0</v>
      </c>
      <c r="O17" s="219">
        <v>0</v>
      </c>
      <c r="P17" s="211"/>
      <c r="Q17" s="223">
        <v>1136038</v>
      </c>
      <c r="R17" s="216">
        <v>25</v>
      </c>
      <c r="S17" s="224">
        <v>7</v>
      </c>
      <c r="T17" s="222">
        <v>1</v>
      </c>
      <c r="U17" s="211"/>
    </row>
    <row r="18">
      <c r="A18" s="230">
        <v>28</v>
      </c>
      <c r="B18" s="230">
        <v>156</v>
      </c>
      <c r="D18" s="211"/>
      <c r="E18" s="217">
        <v>23</v>
      </c>
      <c r="F18" s="218">
        <v>3</v>
      </c>
      <c r="G18" s="219">
        <v>0</v>
      </c>
      <c r="H18" s="218">
        <v>0</v>
      </c>
      <c r="I18" s="219">
        <v>1</v>
      </c>
      <c r="J18" s="218">
        <v>0</v>
      </c>
      <c r="K18" s="219">
        <v>0</v>
      </c>
      <c r="L18" s="218">
        <v>0</v>
      </c>
      <c r="M18" s="219">
        <v>0</v>
      </c>
      <c r="N18" s="218">
        <v>0</v>
      </c>
      <c r="O18" s="219">
        <v>0</v>
      </c>
      <c r="P18" s="211"/>
      <c r="Q18" s="223">
        <v>1210167</v>
      </c>
      <c r="R18" s="216">
        <v>25</v>
      </c>
      <c r="S18" s="224">
        <v>7</v>
      </c>
      <c r="T18" s="222">
        <v>5</v>
      </c>
      <c r="U18" s="211"/>
    </row>
    <row r="19">
      <c r="A19" s="230">
        <v>26</v>
      </c>
      <c r="B19" s="230">
        <v>132</v>
      </c>
      <c r="D19" s="211"/>
      <c r="E19" s="217">
        <v>24</v>
      </c>
      <c r="F19" s="218">
        <v>2</v>
      </c>
      <c r="G19" s="219">
        <v>0</v>
      </c>
      <c r="H19" s="218">
        <v>0</v>
      </c>
      <c r="I19" s="219">
        <v>0</v>
      </c>
      <c r="J19" s="218">
        <v>0</v>
      </c>
      <c r="K19" s="219">
        <v>0</v>
      </c>
      <c r="L19" s="218">
        <v>0</v>
      </c>
      <c r="M19" s="219">
        <v>0</v>
      </c>
      <c r="N19" s="218">
        <v>0</v>
      </c>
      <c r="O19" s="219">
        <v>1</v>
      </c>
      <c r="P19" s="211"/>
      <c r="Q19" s="223">
        <v>1227027</v>
      </c>
      <c r="R19" s="216">
        <v>25</v>
      </c>
      <c r="S19" s="224">
        <v>7</v>
      </c>
      <c r="T19" s="218">
        <v>0</v>
      </c>
      <c r="U19" s="211"/>
    </row>
    <row r="20">
      <c r="A20" s="230">
        <v>0</v>
      </c>
      <c r="B20" s="230">
        <v>91</v>
      </c>
      <c r="D20" s="211"/>
      <c r="E20" s="217">
        <v>22</v>
      </c>
      <c r="F20" s="218">
        <v>0</v>
      </c>
      <c r="G20" s="219">
        <v>0</v>
      </c>
      <c r="H20" s="218">
        <v>0</v>
      </c>
      <c r="I20" s="219">
        <v>0</v>
      </c>
      <c r="J20" s="218">
        <v>1</v>
      </c>
      <c r="K20" s="219">
        <v>0</v>
      </c>
      <c r="L20" s="218">
        <v>0</v>
      </c>
      <c r="M20" s="219">
        <v>0</v>
      </c>
      <c r="N20" s="218">
        <v>0</v>
      </c>
      <c r="O20" s="219">
        <v>0</v>
      </c>
      <c r="P20" s="211"/>
      <c r="Q20" s="223">
        <v>1245982</v>
      </c>
      <c r="R20" s="216">
        <v>25</v>
      </c>
      <c r="S20" s="224">
        <v>7</v>
      </c>
      <c r="T20" s="218">
        <v>0</v>
      </c>
      <c r="U20" s="211"/>
    </row>
    <row r="21">
      <c r="A21" s="230">
        <v>7</v>
      </c>
      <c r="B21" s="230">
        <v>90</v>
      </c>
      <c r="D21" s="211"/>
      <c r="P21" s="211"/>
      <c r="Q21" s="223">
        <v>1254754</v>
      </c>
      <c r="R21" s="216">
        <v>26</v>
      </c>
      <c r="S21" s="224">
        <v>7</v>
      </c>
      <c r="T21" s="222">
        <v>1</v>
      </c>
      <c r="U21" s="211"/>
    </row>
    <row r="22">
      <c r="A22" s="230">
        <v>1</v>
      </c>
      <c r="B22" s="230">
        <v>79</v>
      </c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23">
        <v>1131280</v>
      </c>
      <c r="R22" s="216">
        <v>28</v>
      </c>
      <c r="S22" s="224">
        <v>7</v>
      </c>
      <c r="T22" s="222">
        <v>2</v>
      </c>
      <c r="U22" s="211"/>
    </row>
    <row r="23">
      <c r="A23" s="230">
        <v>4</v>
      </c>
      <c r="B23" s="230">
        <v>52</v>
      </c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23">
        <v>1226319</v>
      </c>
      <c r="R23" s="216">
        <v>28</v>
      </c>
      <c r="S23" s="224">
        <v>7</v>
      </c>
      <c r="T23" s="218">
        <v>0</v>
      </c>
      <c r="U23" s="211"/>
    </row>
    <row r="24">
      <c r="A24" s="230">
        <v>2</v>
      </c>
      <c r="B24" s="230">
        <v>22</v>
      </c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23">
        <v>1221880</v>
      </c>
      <c r="R24" s="216">
        <v>9</v>
      </c>
      <c r="S24" s="224">
        <v>6</v>
      </c>
      <c r="T24" s="218">
        <v>0</v>
      </c>
      <c r="U24" s="211"/>
    </row>
    <row r="25">
      <c r="A25" s="230">
        <v>6</v>
      </c>
      <c r="B25" s="230">
        <v>19</v>
      </c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23">
        <v>1088078</v>
      </c>
      <c r="R25" s="216">
        <v>16</v>
      </c>
      <c r="S25" s="224">
        <v>6</v>
      </c>
      <c r="T25" s="222">
        <v>3</v>
      </c>
      <c r="U25" s="211"/>
    </row>
    <row r="26">
      <c r="A26" s="230">
        <v>12</v>
      </c>
      <c r="B26" s="230">
        <v>14</v>
      </c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23">
        <v>1096721</v>
      </c>
      <c r="R26" s="216">
        <v>16</v>
      </c>
      <c r="S26" s="224">
        <v>6</v>
      </c>
      <c r="T26" s="222">
        <v>3</v>
      </c>
      <c r="U26" s="211"/>
    </row>
    <row r="27">
      <c r="A27" s="230">
        <v>15</v>
      </c>
      <c r="B27" s="230">
        <v>10</v>
      </c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23">
        <v>1225165</v>
      </c>
      <c r="R27" s="216">
        <v>16</v>
      </c>
      <c r="S27" s="224">
        <v>6</v>
      </c>
      <c r="T27" s="222">
        <v>3</v>
      </c>
      <c r="U27" s="211"/>
    </row>
    <row r="28">
      <c r="A28" s="230">
        <v>11</v>
      </c>
      <c r="B28" s="230">
        <v>8</v>
      </c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23">
        <v>1236034</v>
      </c>
      <c r="R28" s="216">
        <v>19</v>
      </c>
      <c r="S28" s="224">
        <v>6</v>
      </c>
      <c r="T28" s="222">
        <v>5</v>
      </c>
      <c r="U28" s="211"/>
    </row>
    <row r="29">
      <c r="A29" s="230">
        <v>21</v>
      </c>
      <c r="B29" s="230">
        <v>7</v>
      </c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23">
        <v>1147071</v>
      </c>
      <c r="R29" s="216">
        <v>25</v>
      </c>
      <c r="S29" s="224">
        <v>6</v>
      </c>
      <c r="T29" s="222">
        <v>1</v>
      </c>
      <c r="U29" s="211"/>
    </row>
    <row r="30">
      <c r="A30" s="230">
        <v>23</v>
      </c>
      <c r="B30" s="230">
        <v>4</v>
      </c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23">
        <v>1211252</v>
      </c>
      <c r="R30" s="216">
        <v>25</v>
      </c>
      <c r="S30" s="224">
        <v>6</v>
      </c>
      <c r="T30" s="222">
        <v>5</v>
      </c>
      <c r="U30" s="211"/>
    </row>
    <row r="31">
      <c r="A31" s="230">
        <v>24</v>
      </c>
      <c r="B31" s="230">
        <v>3</v>
      </c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23">
        <v>1217287</v>
      </c>
      <c r="R31" s="216">
        <v>25</v>
      </c>
      <c r="S31" s="224">
        <v>6</v>
      </c>
      <c r="T31" s="222">
        <v>1</v>
      </c>
      <c r="U31" s="211"/>
    </row>
    <row r="32">
      <c r="A32" s="230">
        <v>22</v>
      </c>
      <c r="B32" s="230">
        <v>1</v>
      </c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23">
        <v>1230992</v>
      </c>
      <c r="R32" s="216">
        <v>25</v>
      </c>
      <c r="S32" s="224">
        <v>6</v>
      </c>
      <c r="T32" s="222">
        <v>6</v>
      </c>
      <c r="U32" s="211"/>
    </row>
    <row r="33"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23">
        <v>1253632</v>
      </c>
      <c r="R33" s="216">
        <v>28</v>
      </c>
      <c r="S33" s="224">
        <v>6</v>
      </c>
      <c r="T33" s="218">
        <v>0</v>
      </c>
      <c r="U33" s="211"/>
    </row>
    <row r="34"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23">
        <v>1007431</v>
      </c>
      <c r="R34" s="216">
        <v>6</v>
      </c>
      <c r="S34" s="224">
        <v>5</v>
      </c>
      <c r="T34" s="218">
        <v>0</v>
      </c>
      <c r="U34" s="211"/>
    </row>
    <row r="35">
      <c r="D35" s="211"/>
      <c r="E35" s="211"/>
      <c r="F35" s="211"/>
      <c r="G35" s="211"/>
      <c r="H35" s="211"/>
      <c r="I35" s="211"/>
      <c r="J35" s="211"/>
      <c r="K35" s="231">
        <v>48</v>
      </c>
      <c r="L35" s="211"/>
      <c r="M35" s="211"/>
      <c r="N35" s="211"/>
      <c r="O35" s="211"/>
      <c r="P35" s="211"/>
      <c r="Q35" s="223">
        <v>1057872</v>
      </c>
      <c r="R35" s="216">
        <v>9</v>
      </c>
      <c r="S35" s="224">
        <v>5</v>
      </c>
      <c r="T35" s="218">
        <v>0</v>
      </c>
      <c r="U35" s="211"/>
    </row>
    <row r="36">
      <c r="D36" s="211"/>
      <c r="E36" s="211"/>
      <c r="F36" s="211"/>
      <c r="G36" s="211"/>
      <c r="H36" s="211"/>
      <c r="I36" s="211"/>
      <c r="J36" s="211"/>
      <c r="K36" s="231">
        <v>13</v>
      </c>
      <c r="L36" s="211"/>
      <c r="M36" s="211"/>
      <c r="N36" s="211"/>
      <c r="O36" s="211"/>
      <c r="P36" s="211"/>
      <c r="Q36" s="223">
        <v>1254803</v>
      </c>
      <c r="R36" s="216">
        <v>9</v>
      </c>
      <c r="S36" s="224">
        <v>5</v>
      </c>
      <c r="T36" s="222">
        <v>1</v>
      </c>
      <c r="U36" s="211"/>
    </row>
    <row r="37">
      <c r="D37" s="211"/>
      <c r="E37" s="211"/>
      <c r="F37" s="211"/>
      <c r="G37" s="211"/>
      <c r="H37" s="211"/>
      <c r="I37" s="211"/>
      <c r="J37" s="211"/>
      <c r="K37" s="232">
        <f>K36/K35</f>
      </c>
      <c r="L37" s="211"/>
      <c r="M37" s="211"/>
      <c r="N37" s="211"/>
      <c r="O37" s="211"/>
      <c r="P37" s="211"/>
      <c r="Q37" s="223">
        <v>1222258</v>
      </c>
      <c r="R37" s="216">
        <v>16</v>
      </c>
      <c r="S37" s="224">
        <v>5</v>
      </c>
      <c r="T37" s="222">
        <v>15</v>
      </c>
      <c r="U37" s="211"/>
    </row>
    <row r="38"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23">
        <v>1120602</v>
      </c>
      <c r="R38" s="216">
        <v>25</v>
      </c>
      <c r="S38" s="224">
        <v>5</v>
      </c>
      <c r="T38" s="222">
        <v>2</v>
      </c>
      <c r="U38" s="211"/>
    </row>
    <row r="39"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23">
        <v>1133041</v>
      </c>
      <c r="R39" s="216">
        <v>25</v>
      </c>
      <c r="S39" s="224">
        <v>5</v>
      </c>
      <c r="T39" s="218">
        <v>0</v>
      </c>
      <c r="U39" s="211"/>
    </row>
    <row r="40"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23">
        <v>1135363</v>
      </c>
      <c r="R40" s="216">
        <v>25</v>
      </c>
      <c r="S40" s="224">
        <v>5</v>
      </c>
      <c r="T40" s="222">
        <v>1</v>
      </c>
      <c r="U40" s="211"/>
    </row>
    <row r="41"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23">
        <v>1136446</v>
      </c>
      <c r="R41" s="216">
        <v>25</v>
      </c>
      <c r="S41" s="224">
        <v>5</v>
      </c>
      <c r="T41" s="222">
        <v>4</v>
      </c>
      <c r="U41" s="211"/>
    </row>
    <row r="42"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23">
        <v>1140955</v>
      </c>
      <c r="R42" s="216">
        <v>25</v>
      </c>
      <c r="S42" s="224">
        <v>5</v>
      </c>
      <c r="T42" s="222">
        <v>6</v>
      </c>
      <c r="U42" s="211"/>
    </row>
    <row r="43"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23">
        <v>1156463</v>
      </c>
      <c r="R43" s="216">
        <v>25</v>
      </c>
      <c r="S43" s="224">
        <v>5</v>
      </c>
      <c r="T43" s="218">
        <v>0</v>
      </c>
      <c r="U43" s="211"/>
    </row>
    <row r="44"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23">
        <v>1230339</v>
      </c>
      <c r="R44" s="216">
        <v>25</v>
      </c>
      <c r="S44" s="224">
        <v>5</v>
      </c>
      <c r="T44" s="222">
        <v>1</v>
      </c>
      <c r="U44" s="211"/>
    </row>
    <row r="45"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23">
        <v>1235165</v>
      </c>
      <c r="R45" s="216">
        <v>25</v>
      </c>
      <c r="S45" s="224">
        <v>5</v>
      </c>
      <c r="T45" s="218">
        <v>0</v>
      </c>
      <c r="U45" s="211"/>
    </row>
    <row r="46"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23">
        <v>1237941</v>
      </c>
      <c r="R46" s="216">
        <v>25</v>
      </c>
      <c r="S46" s="224">
        <v>5</v>
      </c>
      <c r="T46" s="222">
        <v>4</v>
      </c>
      <c r="U46" s="211"/>
    </row>
    <row r="47"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23">
        <v>1246997</v>
      </c>
      <c r="R47" s="216">
        <v>25</v>
      </c>
      <c r="S47" s="224">
        <v>5</v>
      </c>
      <c r="T47" s="218">
        <v>0</v>
      </c>
      <c r="U47" s="211"/>
    </row>
    <row r="48"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23">
        <v>1247943</v>
      </c>
      <c r="R48" s="216">
        <v>25</v>
      </c>
      <c r="S48" s="224">
        <v>5</v>
      </c>
      <c r="T48" s="218">
        <v>0</v>
      </c>
      <c r="U48" s="211"/>
    </row>
    <row r="49"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23">
        <v>1223976</v>
      </c>
      <c r="R49" s="216">
        <v>26</v>
      </c>
      <c r="S49" s="224">
        <v>5</v>
      </c>
      <c r="T49" s="222">
        <v>1</v>
      </c>
      <c r="U49" s="211"/>
    </row>
    <row r="50"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23">
        <v>1258051</v>
      </c>
      <c r="R50" s="216">
        <v>28</v>
      </c>
      <c r="S50" s="224">
        <v>5</v>
      </c>
      <c r="T50" s="222">
        <v>4</v>
      </c>
      <c r="U50" s="211"/>
    </row>
    <row r="51"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</row>
    <row r="52"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</row>
    <row r="53"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</row>
    <row r="54"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</row>
    <row r="55"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</row>
    <row r="56"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</row>
    <row r="57"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</row>
    <row r="58"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</row>
    <row r="59"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</row>
    <row r="60"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</row>
    <row r="61"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</row>
    <row r="62"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</row>
    <row r="63">
      <c r="A63" s="211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</row>
    <row r="64">
      <c r="A64" s="211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</row>
    <row r="65">
      <c r="A65" s="211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</row>
    <row r="66">
      <c r="A66" s="211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</row>
    <row r="67">
      <c r="A67" s="211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</row>
    <row r="68">
      <c r="A68" s="211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</row>
    <row r="69">
      <c r="A69" s="211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</row>
    <row r="70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</row>
    <row r="71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</row>
    <row r="72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</row>
    <row r="73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</row>
    <row r="74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</row>
    <row r="75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</row>
    <row r="76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</row>
    <row r="77">
      <c r="A77" s="211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</row>
    <row r="78">
      <c r="A78" s="211"/>
      <c r="B78" s="211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</row>
    <row r="79">
      <c r="A79" s="211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</row>
    <row r="80">
      <c r="A80" s="211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</row>
    <row r="81">
      <c r="A81" s="211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</row>
    <row r="82">
      <c r="A82" s="211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</row>
    <row r="83">
      <c r="A83" s="211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</row>
    <row r="84">
      <c r="A84" s="211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</row>
    <row r="85">
      <c r="A85" s="211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</row>
    <row r="86">
      <c r="A86" s="211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</row>
    <row r="87">
      <c r="A87" s="211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</row>
    <row r="88">
      <c r="A88" s="211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</row>
    <row r="89">
      <c r="A89" s="211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</row>
    <row r="90">
      <c r="A90" s="211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</row>
    <row r="91">
      <c r="A91" s="211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</row>
    <row r="92">
      <c r="A92" s="211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</row>
    <row r="93">
      <c r="A93" s="211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</row>
    <row r="94">
      <c r="A94" s="211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</row>
    <row r="95">
      <c r="A95" s="211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</row>
    <row r="96">
      <c r="A96" s="211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</row>
    <row r="97">
      <c r="A97" s="211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</row>
    <row r="98">
      <c r="A98" s="211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</row>
    <row r="99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</row>
    <row r="100">
      <c r="A100" s="211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</row>
    <row r="101">
      <c r="A101" s="211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</row>
    <row r="102">
      <c r="A102" s="211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</row>
    <row r="103">
      <c r="A103" s="211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</row>
    <row r="104">
      <c r="A104" s="211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</row>
    <row r="105">
      <c r="A105" s="211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</row>
    <row r="106">
      <c r="A106" s="211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</row>
    <row r="107">
      <c r="A107" s="211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</row>
    <row r="108">
      <c r="A108" s="21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</row>
    <row r="109">
      <c r="A109" s="211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</row>
    <row r="110">
      <c r="A110" s="211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</row>
    <row r="111">
      <c r="A111" s="211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</row>
    <row r="112">
      <c r="A112" s="211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</row>
    <row r="113">
      <c r="A113" s="211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</row>
    <row r="114">
      <c r="A114" s="211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</row>
    <row r="115">
      <c r="A115" s="211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</row>
    <row r="116">
      <c r="A116" s="211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</row>
    <row r="117">
      <c r="A117" s="211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</row>
    <row r="118">
      <c r="A118" s="211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</row>
    <row r="119">
      <c r="A119" s="211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</row>
    <row r="120">
      <c r="A120" s="211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</row>
    <row r="121">
      <c r="A121" s="211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</row>
    <row r="122">
      <c r="A122" s="211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</row>
    <row r="123">
      <c r="A123" s="211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</row>
    <row r="124">
      <c r="A124" s="211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</row>
    <row r="125">
      <c r="A125" s="211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</row>
    <row r="126">
      <c r="A126" s="211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</row>
    <row r="127">
      <c r="A127" s="211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</row>
    <row r="128">
      <c r="A128" s="211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</row>
    <row r="129">
      <c r="A129" s="211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</row>
    <row r="130">
      <c r="A130" s="211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</row>
    <row r="131">
      <c r="A131" s="211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</row>
    <row r="132">
      <c r="A132" s="211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</row>
    <row r="133">
      <c r="A133" s="211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</row>
    <row r="134">
      <c r="A134" s="211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</row>
    <row r="135">
      <c r="A135" s="211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</row>
    <row r="136">
      <c r="A136" s="211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</row>
    <row r="137">
      <c r="A137" s="211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</row>
    <row r="138">
      <c r="A138" s="211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</row>
    <row r="139">
      <c r="A139" s="211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</row>
    <row r="140">
      <c r="A140" s="211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</row>
    <row r="141">
      <c r="A141" s="211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</row>
    <row r="142">
      <c r="A142" s="211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</row>
    <row r="143">
      <c r="A143" s="211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</row>
    <row r="144">
      <c r="A144" s="211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</row>
    <row r="145">
      <c r="A145" s="211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</row>
    <row r="146">
      <c r="A146" s="211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</row>
    <row r="147">
      <c r="A147" s="211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</row>
    <row r="148">
      <c r="A148" s="211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</row>
    <row r="149">
      <c r="A149" s="211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</row>
    <row r="150">
      <c r="A150" s="211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</row>
    <row r="151">
      <c r="A151" s="211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</row>
    <row r="152">
      <c r="A152" s="211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</row>
    <row r="153">
      <c r="A153" s="211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</row>
    <row r="154">
      <c r="A154" s="211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</row>
    <row r="155">
      <c r="A155" s="211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</row>
    <row r="156">
      <c r="A156" s="211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</row>
    <row r="157">
      <c r="A157" s="211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</row>
    <row r="158">
      <c r="A158" s="211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</row>
    <row r="159">
      <c r="A159" s="211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</row>
    <row r="160">
      <c r="A160" s="211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</row>
    <row r="161">
      <c r="A161" s="211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</row>
    <row r="162">
      <c r="A162" s="211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</row>
    <row r="163">
      <c r="A163" s="211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</row>
    <row r="164">
      <c r="A164" s="211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</row>
    <row r="165">
      <c r="A165" s="211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</row>
    <row r="166">
      <c r="A166" s="211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</row>
    <row r="167">
      <c r="A167" s="211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</row>
    <row r="168">
      <c r="A168" s="211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</row>
    <row r="169">
      <c r="A169" s="211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</row>
    <row r="170">
      <c r="A170" s="211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</row>
    <row r="171">
      <c r="A171" s="211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</row>
    <row r="172">
      <c r="A172" s="211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</row>
    <row r="173">
      <c r="A173" s="211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</row>
    <row r="174">
      <c r="A174" s="211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</row>
    <row r="175">
      <c r="A175" s="211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</row>
    <row r="176">
      <c r="A176" s="211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</row>
    <row r="177">
      <c r="A177" s="211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</row>
    <row r="178">
      <c r="A178" s="211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</row>
    <row r="179">
      <c r="A179" s="211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</row>
    <row r="180">
      <c r="A180" s="211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</row>
    <row r="181">
      <c r="A181" s="211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</row>
    <row r="182">
      <c r="A182" s="211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</row>
    <row r="183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</row>
    <row r="184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</row>
    <row r="185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</row>
    <row r="186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</row>
    <row r="187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</row>
    <row r="188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</row>
    <row r="189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</row>
    <row r="190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</row>
    <row r="191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</row>
    <row r="192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</row>
    <row r="193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</row>
    <row r="194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</row>
    <row r="195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</row>
    <row r="196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</row>
    <row r="197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</row>
    <row r="198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</row>
    <row r="199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</row>
    <row r="200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</row>
    <row r="201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</row>
  </sheetData>
  <mergeCells>
    <mergeCell ref="Q1:T1"/>
  </mergeCells>
  <conditionalFormatting sqref="Q1:Q1048576">
    <cfRule dxfId="2" priority="2" stopIfTrue="true" type="duplicateValues"/>
  </conditionalFormatting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8" min="8" style="0" width="22"/>
    <col collapsed="false" customWidth="true" hidden="false" max="2" min="2" style="0" width="22"/>
    <col collapsed="false" customWidth="true" hidden="false" max="4" min="4" style="0" width="22"/>
    <col collapsed="false" customWidth="true" hidden="false" max="6" min="6" style="0" width="22"/>
    <col collapsed="false" customWidth="true" hidden="false" max="9" min="9" style="0" width="21"/>
    <col collapsed="false" customWidth="true" hidden="false" max="3" min="3" style="0" width="22"/>
    <col collapsed="false" customWidth="true" hidden="false" max="5" min="5" style="0" width="22"/>
    <col collapsed="false" customWidth="true" hidden="false" max="7" min="7" style="0" width="22"/>
  </cols>
  <sheetData>
    <row customHeight="true" ht="20" r="1">
      <c r="A1" s="233" t="s">
        <v>164</v>
      </c>
      <c r="B1" s="234" t="s">
        <v>165</v>
      </c>
      <c r="C1" s="235" t="s">
        <v>166</v>
      </c>
      <c r="D1" s="234" t="s">
        <v>167</v>
      </c>
      <c r="E1" s="235" t="s">
        <v>168</v>
      </c>
      <c r="F1" s="234" t="s">
        <v>169</v>
      </c>
      <c r="G1" s="235" t="s">
        <v>170</v>
      </c>
      <c r="H1" s="234" t="s">
        <v>171</v>
      </c>
      <c r="I1" s="235" t="s">
        <v>172</v>
      </c>
      <c r="J1" s="236"/>
      <c r="K1" s="236"/>
      <c r="L1" s="236"/>
      <c r="M1" s="236"/>
      <c r="N1" s="236"/>
      <c r="O1" s="236"/>
      <c r="P1" s="236"/>
      <c r="Q1" s="236"/>
    </row>
    <row r="2">
      <c r="A2" s="237" t="s">
        <v>173</v>
      </c>
      <c r="B2" s="238">
        <v>618</v>
      </c>
      <c r="C2" s="239">
        <v>587</v>
      </c>
      <c r="D2" s="238">
        <v>355</v>
      </c>
      <c r="E2" s="239">
        <v>76</v>
      </c>
      <c r="F2" s="238">
        <v>147</v>
      </c>
      <c r="G2" s="239">
        <v>273</v>
      </c>
      <c r="H2" s="238"/>
      <c r="I2" s="239">
        <v>62</v>
      </c>
      <c r="J2" s="240"/>
      <c r="K2" s="240"/>
      <c r="L2" s="240"/>
      <c r="M2" s="240"/>
      <c r="N2" s="240"/>
      <c r="O2" s="240"/>
      <c r="P2" s="240"/>
      <c r="Q2" s="240"/>
    </row>
    <row r="3">
      <c r="A3" s="237" t="s">
        <v>174</v>
      </c>
      <c r="B3" s="238">
        <v>359</v>
      </c>
      <c r="C3" s="239">
        <v>498</v>
      </c>
      <c r="D3" s="238">
        <v>297</v>
      </c>
      <c r="E3" s="239">
        <v>58</v>
      </c>
      <c r="F3" s="238">
        <v>100</v>
      </c>
      <c r="G3" s="239">
        <v>231</v>
      </c>
      <c r="H3" s="238"/>
      <c r="I3" s="239">
        <v>48</v>
      </c>
      <c r="J3" s="240"/>
      <c r="K3" s="240"/>
      <c r="L3" s="240"/>
      <c r="M3" s="240"/>
      <c r="N3" s="240"/>
      <c r="O3" s="240"/>
      <c r="P3" s="240"/>
      <c r="Q3" s="240"/>
    </row>
    <row r="4">
      <c r="A4" s="241" t="s">
        <v>175</v>
      </c>
      <c r="B4" s="242">
        <f>B3/B2</f>
      </c>
      <c r="C4" s="243">
        <f>C3/C2</f>
      </c>
      <c r="D4" s="242">
        <f>D3/D2</f>
      </c>
      <c r="E4" s="243">
        <f>E3/E2</f>
      </c>
      <c r="F4" s="242">
        <f>F3/F2</f>
      </c>
      <c r="G4" s="243">
        <f>G3/G2</f>
      </c>
      <c r="H4" s="244">
        <v>0</v>
      </c>
      <c r="I4" s="243">
        <f>I3/I2</f>
      </c>
      <c r="J4" s="245"/>
      <c r="K4" s="245"/>
      <c r="L4" s="245"/>
      <c r="M4" s="245"/>
      <c r="N4" s="245"/>
      <c r="O4" s="245"/>
      <c r="P4" s="245"/>
      <c r="Q4" s="245"/>
    </row>
    <row r="5">
      <c r="A5" s="237" t="s">
        <v>176</v>
      </c>
      <c r="B5" s="238">
        <v>258</v>
      </c>
      <c r="C5" s="239">
        <v>87</v>
      </c>
      <c r="D5" s="238">
        <v>58</v>
      </c>
      <c r="E5" s="239">
        <v>18</v>
      </c>
      <c r="F5" s="238">
        <v>46</v>
      </c>
      <c r="G5" s="239">
        <v>42</v>
      </c>
      <c r="H5" s="238"/>
      <c r="I5" s="239">
        <v>14</v>
      </c>
      <c r="J5" s="240"/>
      <c r="K5" s="240"/>
      <c r="L5" s="240"/>
      <c r="M5" s="246">
        <v>0.7164</v>
      </c>
      <c r="N5" s="240"/>
      <c r="O5" s="240"/>
      <c r="P5" s="240"/>
      <c r="Q5" s="240"/>
    </row>
    <row r="6">
      <c r="A6" s="241" t="s">
        <v>177</v>
      </c>
      <c r="B6" s="242">
        <f>B5/B2</f>
      </c>
      <c r="C6" s="243">
        <f>C5/C2</f>
      </c>
      <c r="D6" s="242">
        <f>D5/D2</f>
      </c>
      <c r="E6" s="243">
        <f>E5/E2</f>
      </c>
      <c r="F6" s="242">
        <f>F5/F2</f>
      </c>
      <c r="G6" s="243">
        <f>G5/G2</f>
      </c>
      <c r="H6" s="244">
        <v>0</v>
      </c>
      <c r="I6" s="243">
        <f>I5/I2</f>
      </c>
      <c r="J6" s="245"/>
      <c r="K6" s="245"/>
      <c r="L6" s="245"/>
      <c r="M6" s="246">
        <v>0.7173</v>
      </c>
      <c r="N6" s="245"/>
      <c r="O6" s="245"/>
      <c r="P6" s="245"/>
      <c r="Q6" s="245"/>
    </row>
    <row r="7">
      <c r="A7" s="237" t="s">
        <v>178</v>
      </c>
      <c r="B7" s="238">
        <v>1</v>
      </c>
      <c r="C7" s="239">
        <v>2</v>
      </c>
      <c r="D7" s="238">
        <v>0</v>
      </c>
      <c r="E7" s="239">
        <v>0</v>
      </c>
      <c r="F7" s="238">
        <v>1</v>
      </c>
      <c r="G7" s="239">
        <v>0</v>
      </c>
      <c r="H7" s="238"/>
      <c r="I7" s="239">
        <v>0</v>
      </c>
      <c r="J7" s="240"/>
      <c r="K7" s="240"/>
      <c r="L7" s="240"/>
      <c r="M7" s="247">
        <f>M5-M6</f>
      </c>
      <c r="N7" s="240"/>
      <c r="O7" s="240"/>
      <c r="P7" s="240"/>
      <c r="Q7" s="240"/>
    </row>
    <row r="8">
      <c r="A8" s="241" t="s">
        <v>179</v>
      </c>
      <c r="B8" s="242">
        <f>B7/B2</f>
      </c>
      <c r="C8" s="243">
        <f>C7/C2</f>
      </c>
      <c r="D8" s="242">
        <f>D7/D2</f>
      </c>
      <c r="E8" s="243">
        <f>E7/E2</f>
      </c>
      <c r="F8" s="242">
        <f>F7/F2</f>
      </c>
      <c r="G8" s="243">
        <f>G7/G2</f>
      </c>
      <c r="H8" s="244">
        <v>0</v>
      </c>
      <c r="I8" s="243">
        <f>I7/I2</f>
      </c>
      <c r="J8" s="245"/>
      <c r="K8" s="245"/>
      <c r="L8" s="245"/>
      <c r="M8" s="245"/>
      <c r="N8" s="245"/>
      <c r="O8" s="245"/>
      <c r="P8" s="245"/>
      <c r="Q8" s="245"/>
    </row>
    <row r="9">
      <c r="A9" s="245"/>
      <c r="B9" s="245"/>
      <c r="C9" s="245"/>
      <c r="D9" s="248"/>
      <c r="E9" s="248"/>
      <c r="F9" s="248"/>
      <c r="G9" s="248"/>
      <c r="H9" s="248"/>
      <c r="I9" s="245"/>
      <c r="J9" s="245"/>
      <c r="K9" s="245"/>
      <c r="L9" s="245"/>
      <c r="M9" s="245"/>
      <c r="N9" s="245"/>
      <c r="O9" s="245"/>
      <c r="P9" s="245"/>
      <c r="Q9" s="245"/>
    </row>
    <row r="10">
      <c r="A10" s="233" t="s">
        <v>164</v>
      </c>
      <c r="B10" s="234" t="s">
        <v>180</v>
      </c>
      <c r="C10" s="235" t="s">
        <v>181</v>
      </c>
      <c r="D10" s="234" t="s">
        <v>182</v>
      </c>
      <c r="E10" s="235" t="s">
        <v>183</v>
      </c>
      <c r="F10" s="234" t="s">
        <v>184</v>
      </c>
      <c r="G10" s="235" t="s">
        <v>185</v>
      </c>
      <c r="H10" s="236"/>
      <c r="J10" s="236"/>
      <c r="K10" s="236"/>
      <c r="L10" s="236"/>
      <c r="M10" s="236"/>
      <c r="N10" s="236"/>
      <c r="O10" s="236"/>
      <c r="P10" s="236"/>
      <c r="Q10" s="236"/>
    </row>
    <row r="11">
      <c r="A11" s="249" t="s">
        <v>173</v>
      </c>
      <c r="B11" s="238">
        <v>610</v>
      </c>
      <c r="C11" s="239">
        <v>9855</v>
      </c>
      <c r="D11" s="238">
        <v>5463</v>
      </c>
      <c r="E11" s="239">
        <v>1216</v>
      </c>
      <c r="F11" s="238">
        <v>2435</v>
      </c>
      <c r="G11" s="239">
        <v>5772</v>
      </c>
      <c r="H11" s="240"/>
      <c r="J11" s="240"/>
      <c r="K11" s="240"/>
      <c r="L11" s="240"/>
      <c r="M11" s="240"/>
      <c r="N11" s="240"/>
      <c r="O11" s="240"/>
      <c r="P11" s="240"/>
      <c r="Q11" s="240"/>
    </row>
    <row r="12">
      <c r="A12" s="249" t="s">
        <v>174</v>
      </c>
      <c r="B12" s="238">
        <v>478</v>
      </c>
      <c r="C12" s="239">
        <v>8386</v>
      </c>
      <c r="D12" s="238">
        <v>3868</v>
      </c>
      <c r="E12" s="239">
        <v>1044</v>
      </c>
      <c r="F12" s="238">
        <v>2059</v>
      </c>
      <c r="G12" s="239">
        <v>4620</v>
      </c>
      <c r="H12" s="240"/>
      <c r="J12" s="240"/>
      <c r="K12" s="240"/>
      <c r="L12" s="240"/>
      <c r="M12" s="240"/>
      <c r="N12" s="240"/>
      <c r="O12" s="240"/>
      <c r="P12" s="240"/>
      <c r="Q12" s="240"/>
    </row>
    <row r="13">
      <c r="A13" s="250" t="s">
        <v>175</v>
      </c>
      <c r="B13" s="242">
        <f>B12/B11</f>
      </c>
      <c r="C13" s="243">
        <f>C12/C11</f>
      </c>
      <c r="D13" s="242">
        <f>D12/D11</f>
      </c>
      <c r="E13" s="243">
        <f>E12/E11</f>
      </c>
      <c r="F13" s="242">
        <f>F12/F11</f>
      </c>
      <c r="G13" s="243">
        <f>G12/G11</f>
      </c>
      <c r="H13" s="245"/>
      <c r="J13" s="245"/>
      <c r="K13" s="245"/>
      <c r="L13" s="245"/>
      <c r="M13" s="245"/>
      <c r="N13" s="245"/>
      <c r="O13" s="245"/>
      <c r="P13" s="245"/>
      <c r="Q13" s="245"/>
    </row>
    <row r="14">
      <c r="A14" s="249" t="s">
        <v>176</v>
      </c>
      <c r="B14" s="238">
        <v>132</v>
      </c>
      <c r="C14" s="239">
        <v>1458</v>
      </c>
      <c r="D14" s="238">
        <v>1591</v>
      </c>
      <c r="E14" s="239">
        <v>171</v>
      </c>
      <c r="F14" s="238">
        <v>375</v>
      </c>
      <c r="G14" s="239">
        <v>1142</v>
      </c>
      <c r="H14" s="240"/>
      <c r="J14" s="240"/>
      <c r="K14" s="240"/>
      <c r="L14" s="240"/>
      <c r="M14" s="240"/>
      <c r="N14" s="240"/>
      <c r="O14" s="240"/>
      <c r="P14" s="240"/>
      <c r="Q14" s="240"/>
    </row>
    <row r="15">
      <c r="A15" s="250" t="s">
        <v>177</v>
      </c>
      <c r="B15" s="242">
        <f>B14/B11</f>
      </c>
      <c r="C15" s="243">
        <f>C14/C11</f>
      </c>
      <c r="D15" s="242">
        <f>D14/D11</f>
      </c>
      <c r="E15" s="243">
        <f>E14/E11</f>
      </c>
      <c r="F15" s="242">
        <f>F14/F11</f>
      </c>
      <c r="G15" s="243">
        <f>G14/G11</f>
      </c>
      <c r="H15" s="245"/>
      <c r="J15" s="245"/>
      <c r="K15" s="245"/>
      <c r="L15" s="245"/>
      <c r="M15" s="245"/>
      <c r="N15" s="245"/>
      <c r="O15" s="245"/>
      <c r="P15" s="245"/>
      <c r="Q15" s="245"/>
    </row>
    <row r="16">
      <c r="A16" s="249" t="s">
        <v>178</v>
      </c>
      <c r="B16" s="238">
        <v>0</v>
      </c>
      <c r="C16" s="239">
        <v>11</v>
      </c>
      <c r="D16" s="238">
        <v>4</v>
      </c>
      <c r="E16" s="239">
        <v>1</v>
      </c>
      <c r="F16" s="238">
        <v>1</v>
      </c>
      <c r="G16" s="251">
        <v>10</v>
      </c>
      <c r="H16" s="240"/>
      <c r="J16" s="240"/>
      <c r="K16" s="240"/>
      <c r="L16" s="240"/>
      <c r="M16" s="240"/>
      <c r="N16" s="240"/>
      <c r="O16" s="240"/>
      <c r="P16" s="240"/>
      <c r="Q16" s="240"/>
    </row>
    <row r="17">
      <c r="A17" s="250" t="s">
        <v>179</v>
      </c>
      <c r="B17" s="242">
        <f>B16/B11</f>
      </c>
      <c r="C17" s="243">
        <f>C16/C11</f>
      </c>
      <c r="D17" s="242">
        <f>D16/D11</f>
      </c>
      <c r="E17" s="243">
        <f>E16/E11</f>
      </c>
      <c r="F17" s="242">
        <f>F16/F11</f>
      </c>
      <c r="G17" s="243">
        <f>G16/G11</f>
      </c>
      <c r="H17" s="245"/>
      <c r="J17" s="245"/>
      <c r="K17" s="245"/>
      <c r="L17" s="245"/>
      <c r="M17" s="245"/>
      <c r="N17" s="245"/>
      <c r="O17" s="245"/>
      <c r="P17" s="245"/>
      <c r="Q17" s="245"/>
    </row>
    <row r="18">
      <c r="A18" s="245"/>
      <c r="B18" s="245"/>
      <c r="C18" s="245"/>
      <c r="D18" s="248"/>
      <c r="E18" s="248"/>
      <c r="F18" s="248"/>
      <c r="G18" s="248"/>
      <c r="H18" s="248"/>
      <c r="I18" s="245"/>
      <c r="J18" s="245"/>
      <c r="K18" s="245"/>
      <c r="L18" s="245"/>
      <c r="M18" s="245"/>
      <c r="N18" s="245"/>
      <c r="O18" s="245"/>
      <c r="P18" s="245"/>
      <c r="Q18" s="245"/>
    </row>
    <row r="19">
      <c r="A19" s="252"/>
      <c r="B19" s="253" t="s">
        <v>186</v>
      </c>
      <c r="C19" s="254" t="s">
        <v>187</v>
      </c>
      <c r="D19" s="253" t="s">
        <v>188</v>
      </c>
      <c r="E19" s="240"/>
      <c r="F19" s="253" t="s">
        <v>189</v>
      </c>
      <c r="G19" s="240"/>
      <c r="H19" s="240"/>
      <c r="I19" s="240"/>
      <c r="J19" s="240"/>
      <c r="K19" s="245"/>
      <c r="L19" s="245"/>
      <c r="M19" s="245"/>
      <c r="N19" s="245"/>
      <c r="O19" s="245"/>
      <c r="P19" s="245"/>
      <c r="Q19" s="245"/>
    </row>
    <row r="20">
      <c r="A20" s="249" t="s">
        <v>173</v>
      </c>
      <c r="B20" s="238">
        <v>9966</v>
      </c>
      <c r="C20" s="255">
        <v>5126</v>
      </c>
      <c r="D20" s="238">
        <v>2284</v>
      </c>
      <c r="E20" s="240"/>
      <c r="F20" s="256">
        <v>859</v>
      </c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</row>
    <row r="21">
      <c r="A21" s="249" t="s">
        <v>174</v>
      </c>
      <c r="B21" s="238">
        <v>6925</v>
      </c>
      <c r="C21" s="255">
        <v>4151</v>
      </c>
      <c r="D21" s="238">
        <v>1712</v>
      </c>
      <c r="E21" s="240"/>
      <c r="F21" s="256">
        <v>676</v>
      </c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</row>
    <row r="22">
      <c r="A22" s="250" t="s">
        <v>175</v>
      </c>
      <c r="B22" s="242">
        <f>B21/B20</f>
      </c>
      <c r="C22" s="257">
        <f>C21/C20</f>
      </c>
      <c r="D22" s="242">
        <f>D21/D20</f>
      </c>
      <c r="E22" s="240"/>
      <c r="F22" s="242">
        <f>F21/F20</f>
      </c>
      <c r="G22" s="240"/>
      <c r="H22" s="240"/>
      <c r="I22" s="240"/>
      <c r="J22" s="240"/>
      <c r="K22" s="245"/>
      <c r="L22" s="245"/>
      <c r="M22" s="245"/>
      <c r="N22" s="245"/>
      <c r="O22" s="245"/>
      <c r="P22" s="245"/>
      <c r="Q22" s="245"/>
    </row>
    <row r="23">
      <c r="A23" s="249" t="s">
        <v>176</v>
      </c>
      <c r="B23" s="238">
        <v>3012</v>
      </c>
      <c r="C23" s="255">
        <v>975</v>
      </c>
      <c r="D23" s="238">
        <v>572</v>
      </c>
      <c r="E23" s="240"/>
      <c r="F23" s="256">
        <v>181</v>
      </c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</row>
    <row r="24">
      <c r="A24" s="250" t="s">
        <v>177</v>
      </c>
      <c r="B24" s="242">
        <f>B23/B20</f>
      </c>
      <c r="C24" s="257">
        <f>C23/C20</f>
      </c>
      <c r="D24" s="242">
        <f>D23/D20</f>
      </c>
      <c r="E24" s="240"/>
      <c r="F24" s="242">
        <f>F23/F20</f>
      </c>
      <c r="G24" s="240"/>
      <c r="H24" s="240"/>
      <c r="I24" s="240"/>
      <c r="J24" s="240"/>
      <c r="K24" s="245"/>
      <c r="L24" s="245"/>
      <c r="M24" s="245"/>
      <c r="N24" s="245"/>
      <c r="O24" s="245"/>
      <c r="P24" s="245"/>
      <c r="Q24" s="245"/>
    </row>
    <row r="25">
      <c r="A25" s="249" t="s">
        <v>178</v>
      </c>
      <c r="B25" s="238">
        <v>29</v>
      </c>
      <c r="C25" s="258">
        <v>0</v>
      </c>
      <c r="D25" s="238">
        <v>0</v>
      </c>
      <c r="E25" s="240"/>
      <c r="F25" s="256">
        <v>2</v>
      </c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</row>
    <row r="26">
      <c r="A26" s="250" t="s">
        <v>179</v>
      </c>
      <c r="B26" s="242">
        <f>B25/B20</f>
      </c>
      <c r="C26" s="257">
        <f>C25/C20</f>
      </c>
      <c r="D26" s="242">
        <f>D25/D20</f>
      </c>
      <c r="E26" s="240"/>
      <c r="F26" s="242">
        <f>F25/F20</f>
      </c>
      <c r="G26" s="240"/>
      <c r="H26" s="240"/>
      <c r="I26" s="240"/>
      <c r="J26" s="240"/>
      <c r="K26" s="245"/>
      <c r="L26" s="245"/>
      <c r="M26" s="245"/>
      <c r="N26" s="245"/>
      <c r="O26" s="245"/>
      <c r="P26" s="245"/>
      <c r="Q26" s="245"/>
    </row>
    <row r="27">
      <c r="A27" s="245"/>
      <c r="B27" s="245"/>
      <c r="C27" s="245"/>
      <c r="D27" s="240"/>
      <c r="E27" s="240"/>
      <c r="F27" s="240"/>
      <c r="G27" s="240"/>
      <c r="H27" s="240"/>
      <c r="I27" s="240"/>
      <c r="J27" s="240"/>
      <c r="K27" s="245"/>
      <c r="L27" s="245"/>
      <c r="M27" s="245"/>
      <c r="N27" s="245"/>
      <c r="O27" s="245"/>
      <c r="P27" s="245"/>
      <c r="Q27" s="245"/>
    </row>
    <row r="28">
      <c r="A28" s="245"/>
      <c r="B28" s="245"/>
      <c r="C28" s="245"/>
      <c r="D28" s="240"/>
      <c r="E28" s="240"/>
      <c r="F28" s="240"/>
      <c r="G28" s="240"/>
      <c r="H28" s="240"/>
      <c r="I28" s="240"/>
      <c r="J28" s="240"/>
      <c r="K28" s="245"/>
      <c r="L28" s="245"/>
      <c r="M28" s="245"/>
      <c r="N28" s="245"/>
      <c r="O28" s="245"/>
      <c r="P28" s="245"/>
      <c r="Q28" s="245"/>
    </row>
    <row r="29">
      <c r="A29" s="245"/>
      <c r="B29" s="245"/>
      <c r="C29" s="245"/>
      <c r="D29" s="248"/>
      <c r="E29" s="240"/>
      <c r="F29" s="240"/>
      <c r="G29" s="240"/>
      <c r="H29" s="248"/>
      <c r="I29" s="245"/>
      <c r="J29" s="245"/>
      <c r="K29" s="245"/>
      <c r="L29" s="245"/>
      <c r="M29" s="245"/>
      <c r="N29" s="245"/>
      <c r="O29" s="245"/>
      <c r="P29" s="245"/>
      <c r="Q29" s="245"/>
    </row>
    <row r="30">
      <c r="A30" s="245"/>
      <c r="B30" s="245"/>
      <c r="C30" s="245"/>
      <c r="D30" s="248"/>
      <c r="E30" s="240"/>
      <c r="F30" s="240"/>
      <c r="G30" s="240"/>
      <c r="H30" s="248"/>
      <c r="I30" s="245"/>
      <c r="J30" s="245"/>
      <c r="K30" s="245"/>
      <c r="L30" s="245"/>
      <c r="M30" s="245"/>
      <c r="N30" s="245"/>
      <c r="O30" s="245"/>
      <c r="P30" s="245"/>
      <c r="Q30" s="245"/>
    </row>
    <row r="31">
      <c r="A31" s="245"/>
      <c r="B31" s="245"/>
      <c r="C31" s="245"/>
      <c r="D31" s="248"/>
      <c r="E31" s="248"/>
      <c r="F31" s="248"/>
      <c r="G31" s="248"/>
      <c r="H31" s="248"/>
      <c r="I31" s="245"/>
      <c r="J31" s="245"/>
      <c r="K31" s="245"/>
      <c r="L31" s="245"/>
      <c r="M31" s="245"/>
      <c r="N31" s="245"/>
      <c r="O31" s="245"/>
      <c r="P31" s="245"/>
      <c r="Q31" s="245"/>
    </row>
    <row r="32">
      <c r="A32" s="245"/>
      <c r="B32" s="245"/>
      <c r="C32" s="245"/>
      <c r="D32" s="248"/>
      <c r="E32" s="248"/>
      <c r="F32" s="248"/>
      <c r="G32" s="248"/>
      <c r="H32" s="248"/>
      <c r="I32" s="245"/>
      <c r="J32" s="245"/>
      <c r="K32" s="245"/>
      <c r="L32" s="245"/>
      <c r="M32" s="245"/>
      <c r="N32" s="245"/>
      <c r="O32" s="245"/>
      <c r="P32" s="245"/>
      <c r="Q32" s="245"/>
    </row>
    <row r="33">
      <c r="A33" s="245"/>
      <c r="B33" s="245"/>
      <c r="C33" s="245"/>
      <c r="D33" s="248"/>
      <c r="E33" s="248"/>
      <c r="F33" s="248"/>
      <c r="G33" s="248"/>
      <c r="H33" s="248"/>
      <c r="I33" s="245"/>
      <c r="J33" s="245"/>
      <c r="K33" s="245"/>
      <c r="L33" s="245"/>
      <c r="M33" s="245"/>
      <c r="N33" s="245"/>
      <c r="O33" s="245"/>
      <c r="P33" s="245"/>
      <c r="Q33" s="245"/>
    </row>
    <row r="34">
      <c r="A34" s="245"/>
      <c r="B34" s="245"/>
      <c r="C34" s="245"/>
      <c r="D34" s="248"/>
      <c r="E34" s="248"/>
      <c r="F34" s="248"/>
      <c r="G34" s="248"/>
      <c r="H34" s="248"/>
      <c r="I34" s="245"/>
      <c r="J34" s="245"/>
      <c r="K34" s="245"/>
      <c r="L34" s="245"/>
      <c r="M34" s="245"/>
      <c r="N34" s="245"/>
      <c r="O34" s="245"/>
      <c r="P34" s="245"/>
      <c r="Q34" s="245"/>
    </row>
    <row r="35">
      <c r="A35" s="245"/>
      <c r="B35" s="245"/>
      <c r="C35" s="245"/>
      <c r="D35" s="248"/>
      <c r="E35" s="248"/>
      <c r="F35" s="248"/>
      <c r="G35" s="248"/>
      <c r="H35" s="248"/>
      <c r="I35" s="245"/>
      <c r="J35" s="245"/>
      <c r="K35" s="245"/>
      <c r="L35" s="245"/>
      <c r="M35" s="245"/>
      <c r="N35" s="245"/>
      <c r="O35" s="245"/>
      <c r="P35" s="245"/>
      <c r="Q35" s="245"/>
    </row>
    <row r="36">
      <c r="A36" s="245"/>
      <c r="B36" s="245"/>
      <c r="C36" s="245"/>
      <c r="D36" s="248"/>
      <c r="E36" s="248"/>
      <c r="F36" s="248"/>
      <c r="G36" s="248"/>
      <c r="H36" s="248"/>
      <c r="I36" s="245"/>
      <c r="J36" s="245"/>
      <c r="K36" s="245"/>
      <c r="L36" s="245"/>
      <c r="M36" s="245"/>
      <c r="N36" s="245"/>
      <c r="O36" s="245"/>
      <c r="P36" s="245"/>
      <c r="Q36" s="245"/>
    </row>
    <row r="37">
      <c r="A37" s="245"/>
      <c r="B37" s="245"/>
      <c r="C37" s="245"/>
      <c r="D37" s="248"/>
      <c r="E37" s="248"/>
      <c r="F37" s="248"/>
      <c r="G37" s="248"/>
      <c r="H37" s="248"/>
      <c r="I37" s="245"/>
      <c r="J37" s="245"/>
      <c r="K37" s="245"/>
      <c r="L37" s="245"/>
      <c r="M37" s="245"/>
      <c r="N37" s="245"/>
      <c r="O37" s="245"/>
      <c r="P37" s="245"/>
      <c r="Q37" s="245"/>
    </row>
    <row r="38">
      <c r="A38" s="245"/>
      <c r="B38" s="245"/>
      <c r="C38" s="245"/>
      <c r="D38" s="248"/>
      <c r="E38" s="248"/>
      <c r="F38" s="248"/>
      <c r="G38" s="248"/>
      <c r="H38" s="248"/>
      <c r="I38" s="245"/>
      <c r="J38" s="245"/>
      <c r="K38" s="245"/>
      <c r="L38" s="245"/>
      <c r="M38" s="245"/>
      <c r="N38" s="245"/>
      <c r="O38" s="245"/>
      <c r="P38" s="245"/>
      <c r="Q38" s="245"/>
    </row>
    <row r="39">
      <c r="A39" s="245"/>
      <c r="B39" s="245"/>
      <c r="C39" s="245"/>
      <c r="D39" s="248"/>
      <c r="E39" s="248"/>
      <c r="F39" s="248"/>
      <c r="G39" s="248"/>
      <c r="H39" s="248"/>
      <c r="I39" s="245"/>
      <c r="J39" s="245"/>
      <c r="K39" s="245"/>
      <c r="L39" s="245"/>
      <c r="M39" s="245"/>
      <c r="N39" s="245"/>
      <c r="O39" s="245"/>
      <c r="P39" s="245"/>
      <c r="Q39" s="245"/>
    </row>
    <row r="40">
      <c r="A40" s="245"/>
      <c r="B40" s="245"/>
      <c r="C40" s="245"/>
      <c r="D40" s="248"/>
      <c r="E40" s="248"/>
      <c r="F40" s="248"/>
      <c r="G40" s="248"/>
      <c r="H40" s="248"/>
      <c r="I40" s="245"/>
      <c r="J40" s="245"/>
      <c r="K40" s="245"/>
      <c r="L40" s="245"/>
      <c r="M40" s="245"/>
      <c r="N40" s="245"/>
      <c r="O40" s="245"/>
      <c r="P40" s="245"/>
      <c r="Q40" s="245"/>
    </row>
    <row r="41">
      <c r="A41" s="245"/>
      <c r="B41" s="245"/>
      <c r="C41" s="245"/>
      <c r="D41" s="248"/>
      <c r="E41" s="248"/>
      <c r="F41" s="248"/>
      <c r="G41" s="248"/>
      <c r="H41" s="248"/>
      <c r="I41" s="245"/>
      <c r="J41" s="245"/>
      <c r="K41" s="245"/>
      <c r="L41" s="245"/>
      <c r="M41" s="245"/>
      <c r="N41" s="245"/>
      <c r="O41" s="245"/>
      <c r="P41" s="245"/>
      <c r="Q41" s="245"/>
    </row>
    <row r="42">
      <c r="A42" s="245"/>
      <c r="B42" s="245"/>
      <c r="C42" s="245"/>
      <c r="D42" s="248"/>
      <c r="E42" s="248"/>
      <c r="F42" s="248"/>
      <c r="G42" s="248"/>
      <c r="H42" s="248"/>
      <c r="I42" s="245"/>
      <c r="J42" s="245"/>
      <c r="K42" s="245"/>
      <c r="L42" s="245"/>
      <c r="M42" s="245"/>
      <c r="N42" s="245"/>
      <c r="O42" s="245"/>
      <c r="P42" s="245"/>
      <c r="Q42" s="245"/>
    </row>
    <row r="43">
      <c r="A43" s="245"/>
      <c r="B43" s="245"/>
      <c r="C43" s="245"/>
      <c r="D43" s="248"/>
      <c r="E43" s="248"/>
      <c r="F43" s="248"/>
      <c r="G43" s="248"/>
      <c r="H43" s="248"/>
      <c r="I43" s="245"/>
      <c r="J43" s="245"/>
      <c r="K43" s="245"/>
      <c r="L43" s="245"/>
      <c r="M43" s="245"/>
      <c r="N43" s="245"/>
      <c r="O43" s="245"/>
      <c r="P43" s="245"/>
      <c r="Q43" s="245"/>
    </row>
    <row r="44">
      <c r="A44" s="245"/>
      <c r="B44" s="245"/>
      <c r="C44" s="245"/>
      <c r="D44" s="248"/>
      <c r="E44" s="248"/>
      <c r="F44" s="248"/>
      <c r="G44" s="248"/>
      <c r="H44" s="248"/>
      <c r="I44" s="245"/>
      <c r="J44" s="245"/>
      <c r="K44" s="245"/>
      <c r="L44" s="245"/>
      <c r="M44" s="245"/>
      <c r="N44" s="245"/>
      <c r="O44" s="245"/>
      <c r="P44" s="245"/>
      <c r="Q44" s="245"/>
    </row>
    <row r="45">
      <c r="A45" s="245"/>
      <c r="B45" s="245"/>
      <c r="C45" s="245"/>
      <c r="D45" s="248"/>
      <c r="E45" s="248"/>
      <c r="F45" s="248"/>
      <c r="G45" s="248"/>
      <c r="H45" s="248"/>
      <c r="I45" s="245"/>
      <c r="J45" s="245"/>
      <c r="K45" s="245"/>
      <c r="L45" s="245"/>
      <c r="M45" s="245"/>
      <c r="N45" s="245"/>
      <c r="O45" s="245"/>
      <c r="P45" s="245"/>
      <c r="Q45" s="245"/>
    </row>
    <row r="46">
      <c r="A46" s="245"/>
      <c r="B46" s="245"/>
      <c r="C46" s="245"/>
      <c r="D46" s="248"/>
      <c r="E46" s="248"/>
      <c r="F46" s="248"/>
      <c r="G46" s="248"/>
      <c r="H46" s="248"/>
      <c r="I46" s="245"/>
      <c r="J46" s="245"/>
      <c r="K46" s="245"/>
      <c r="L46" s="245"/>
      <c r="M46" s="245"/>
      <c r="N46" s="245"/>
      <c r="O46" s="245"/>
      <c r="P46" s="245"/>
      <c r="Q46" s="245"/>
    </row>
    <row r="47">
      <c r="A47" s="245"/>
      <c r="B47" s="245"/>
      <c r="C47" s="245"/>
      <c r="D47" s="248"/>
      <c r="E47" s="248"/>
      <c r="F47" s="248"/>
      <c r="G47" s="248"/>
      <c r="H47" s="248"/>
      <c r="I47" s="245"/>
      <c r="J47" s="245"/>
      <c r="K47" s="245"/>
      <c r="L47" s="245"/>
      <c r="M47" s="245"/>
      <c r="N47" s="245"/>
      <c r="O47" s="245"/>
      <c r="P47" s="245"/>
      <c r="Q47" s="245"/>
    </row>
    <row r="48">
      <c r="A48" s="245"/>
      <c r="B48" s="245"/>
      <c r="C48" s="245"/>
      <c r="D48" s="248"/>
      <c r="E48" s="248"/>
      <c r="F48" s="248"/>
      <c r="G48" s="248"/>
      <c r="H48" s="248"/>
      <c r="I48" s="245"/>
      <c r="J48" s="245"/>
      <c r="K48" s="245"/>
      <c r="L48" s="245"/>
      <c r="M48" s="245"/>
      <c r="N48" s="245"/>
      <c r="O48" s="245"/>
      <c r="P48" s="245"/>
      <c r="Q48" s="245"/>
    </row>
    <row r="49">
      <c r="A49" s="245"/>
      <c r="B49" s="245"/>
      <c r="C49" s="245"/>
      <c r="D49" s="248"/>
      <c r="E49" s="248"/>
      <c r="F49" s="248"/>
      <c r="G49" s="248"/>
      <c r="H49" s="248"/>
      <c r="I49" s="245"/>
      <c r="J49" s="245"/>
      <c r="K49" s="245"/>
      <c r="L49" s="245"/>
      <c r="M49" s="245"/>
      <c r="N49" s="245"/>
      <c r="O49" s="245"/>
      <c r="P49" s="245"/>
      <c r="Q49" s="245"/>
    </row>
    <row r="50">
      <c r="A50" s="245"/>
      <c r="B50" s="245"/>
      <c r="C50" s="245"/>
      <c r="D50" s="248"/>
      <c r="E50" s="248"/>
      <c r="F50" s="248"/>
      <c r="G50" s="248"/>
      <c r="H50" s="248"/>
      <c r="I50" s="245"/>
      <c r="J50" s="245"/>
      <c r="K50" s="245"/>
      <c r="L50" s="245"/>
      <c r="M50" s="245"/>
      <c r="N50" s="245"/>
      <c r="O50" s="245"/>
      <c r="P50" s="245"/>
      <c r="Q50" s="245"/>
    </row>
    <row r="51">
      <c r="A51" s="245"/>
      <c r="B51" s="245"/>
      <c r="C51" s="245"/>
      <c r="D51" s="248"/>
      <c r="E51" s="248"/>
      <c r="F51" s="248"/>
      <c r="G51" s="248"/>
      <c r="H51" s="248"/>
      <c r="I51" s="245"/>
      <c r="J51" s="245"/>
      <c r="K51" s="245"/>
      <c r="L51" s="245"/>
      <c r="M51" s="245"/>
      <c r="N51" s="245"/>
      <c r="O51" s="245"/>
      <c r="P51" s="245"/>
      <c r="Q51" s="245"/>
    </row>
    <row r="52">
      <c r="A52" s="245"/>
      <c r="B52" s="245"/>
      <c r="C52" s="245"/>
      <c r="D52" s="248"/>
      <c r="E52" s="248"/>
      <c r="F52" s="248"/>
      <c r="G52" s="248"/>
      <c r="H52" s="248"/>
      <c r="I52" s="245"/>
      <c r="J52" s="245"/>
      <c r="K52" s="245"/>
      <c r="L52" s="245"/>
      <c r="M52" s="245"/>
      <c r="N52" s="245"/>
      <c r="O52" s="245"/>
      <c r="P52" s="245"/>
      <c r="Q52" s="245"/>
    </row>
    <row r="53">
      <c r="A53" s="245"/>
      <c r="B53" s="245"/>
      <c r="C53" s="245"/>
      <c r="D53" s="248"/>
      <c r="E53" s="248"/>
      <c r="F53" s="248"/>
      <c r="G53" s="248"/>
      <c r="H53" s="248"/>
      <c r="I53" s="245"/>
      <c r="J53" s="245"/>
      <c r="K53" s="245"/>
      <c r="L53" s="245"/>
      <c r="M53" s="245"/>
      <c r="N53" s="245"/>
      <c r="O53" s="245"/>
      <c r="P53" s="245"/>
      <c r="Q53" s="245"/>
    </row>
    <row r="54">
      <c r="A54" s="245"/>
      <c r="B54" s="245"/>
      <c r="C54" s="245"/>
      <c r="D54" s="248"/>
      <c r="E54" s="248"/>
      <c r="F54" s="248"/>
      <c r="G54" s="248"/>
      <c r="H54" s="248"/>
      <c r="I54" s="245"/>
      <c r="J54" s="245"/>
      <c r="K54" s="245"/>
      <c r="L54" s="245"/>
      <c r="M54" s="245"/>
      <c r="N54" s="245"/>
      <c r="O54" s="245"/>
      <c r="P54" s="245"/>
      <c r="Q54" s="245"/>
    </row>
    <row r="55">
      <c r="A55" s="245"/>
      <c r="B55" s="245"/>
      <c r="C55" s="245"/>
      <c r="D55" s="248"/>
      <c r="E55" s="248"/>
      <c r="F55" s="248"/>
      <c r="G55" s="248"/>
      <c r="H55" s="248"/>
      <c r="I55" s="245"/>
      <c r="J55" s="245"/>
      <c r="K55" s="245"/>
      <c r="L55" s="245"/>
      <c r="M55" s="245"/>
      <c r="N55" s="245"/>
      <c r="O55" s="245"/>
      <c r="P55" s="245"/>
      <c r="Q55" s="245"/>
    </row>
    <row r="56">
      <c r="A56" s="245"/>
      <c r="B56" s="245"/>
      <c r="C56" s="245"/>
      <c r="D56" s="248"/>
      <c r="E56" s="248"/>
      <c r="F56" s="248"/>
      <c r="G56" s="248"/>
      <c r="H56" s="248"/>
      <c r="I56" s="245"/>
      <c r="J56" s="245"/>
      <c r="K56" s="245"/>
      <c r="L56" s="245"/>
      <c r="M56" s="245"/>
      <c r="N56" s="245"/>
      <c r="O56" s="245"/>
      <c r="P56" s="245"/>
      <c r="Q56" s="245"/>
    </row>
    <row r="57">
      <c r="A57" s="245"/>
      <c r="B57" s="245"/>
      <c r="C57" s="245"/>
      <c r="D57" s="248"/>
      <c r="E57" s="248"/>
      <c r="F57" s="248"/>
      <c r="G57" s="248"/>
      <c r="H57" s="248"/>
      <c r="I57" s="245"/>
      <c r="J57" s="245"/>
      <c r="K57" s="245"/>
      <c r="L57" s="245"/>
      <c r="M57" s="245"/>
      <c r="N57" s="245"/>
      <c r="O57" s="245"/>
      <c r="P57" s="245"/>
      <c r="Q57" s="245"/>
    </row>
    <row r="58">
      <c r="A58" s="245"/>
      <c r="B58" s="245"/>
      <c r="C58" s="245"/>
      <c r="D58" s="248"/>
      <c r="E58" s="248"/>
      <c r="F58" s="248"/>
      <c r="G58" s="248"/>
      <c r="H58" s="248"/>
      <c r="I58" s="245"/>
      <c r="J58" s="245"/>
      <c r="K58" s="245"/>
      <c r="L58" s="245"/>
      <c r="M58" s="245"/>
      <c r="N58" s="245"/>
      <c r="O58" s="245"/>
      <c r="P58" s="245"/>
      <c r="Q58" s="245"/>
    </row>
    <row r="59">
      <c r="A59" s="245"/>
      <c r="B59" s="245"/>
      <c r="C59" s="245"/>
      <c r="D59" s="248"/>
      <c r="E59" s="248"/>
      <c r="F59" s="248"/>
      <c r="G59" s="248"/>
      <c r="H59" s="248"/>
      <c r="I59" s="245"/>
      <c r="J59" s="245"/>
      <c r="K59" s="245"/>
      <c r="L59" s="245"/>
      <c r="M59" s="245"/>
      <c r="N59" s="245"/>
      <c r="O59" s="245"/>
      <c r="P59" s="245"/>
      <c r="Q59" s="245"/>
    </row>
    <row r="60">
      <c r="A60" s="245"/>
      <c r="B60" s="245"/>
      <c r="C60" s="245"/>
      <c r="D60" s="248"/>
      <c r="E60" s="248"/>
      <c r="F60" s="248"/>
      <c r="G60" s="248"/>
      <c r="H60" s="248"/>
      <c r="I60" s="245"/>
      <c r="J60" s="245"/>
      <c r="K60" s="245"/>
      <c r="L60" s="245"/>
      <c r="M60" s="245"/>
      <c r="N60" s="245"/>
      <c r="O60" s="245"/>
      <c r="P60" s="245"/>
      <c r="Q60" s="245"/>
    </row>
    <row r="61">
      <c r="A61" s="245"/>
      <c r="B61" s="245"/>
      <c r="C61" s="245"/>
      <c r="D61" s="248"/>
      <c r="E61" s="248"/>
      <c r="F61" s="248"/>
      <c r="G61" s="248"/>
      <c r="H61" s="248"/>
      <c r="I61" s="245"/>
      <c r="J61" s="245"/>
      <c r="K61" s="245"/>
      <c r="L61" s="245"/>
      <c r="M61" s="245"/>
      <c r="N61" s="245"/>
      <c r="O61" s="245"/>
      <c r="P61" s="245"/>
      <c r="Q61" s="245"/>
    </row>
    <row r="62">
      <c r="A62" s="245"/>
      <c r="B62" s="245"/>
      <c r="C62" s="245"/>
      <c r="D62" s="248"/>
      <c r="E62" s="248"/>
      <c r="F62" s="248"/>
      <c r="G62" s="248"/>
      <c r="H62" s="248"/>
      <c r="I62" s="245"/>
      <c r="J62" s="245"/>
      <c r="K62" s="245"/>
      <c r="L62" s="245"/>
      <c r="M62" s="245"/>
      <c r="N62" s="245"/>
      <c r="O62" s="245"/>
      <c r="P62" s="245"/>
      <c r="Q62" s="245"/>
    </row>
    <row r="63">
      <c r="A63" s="245"/>
      <c r="B63" s="245"/>
      <c r="C63" s="245"/>
      <c r="D63" s="248"/>
      <c r="E63" s="248"/>
      <c r="F63" s="248"/>
      <c r="G63" s="248"/>
      <c r="H63" s="248"/>
      <c r="I63" s="245"/>
      <c r="J63" s="245"/>
      <c r="K63" s="245"/>
      <c r="L63" s="245"/>
      <c r="M63" s="245"/>
      <c r="N63" s="245"/>
      <c r="O63" s="245"/>
      <c r="P63" s="245"/>
      <c r="Q63" s="245"/>
    </row>
    <row r="64">
      <c r="A64" s="245"/>
      <c r="B64" s="245"/>
      <c r="C64" s="245"/>
      <c r="D64" s="248"/>
      <c r="E64" s="248"/>
      <c r="F64" s="248"/>
      <c r="G64" s="248"/>
      <c r="H64" s="248"/>
      <c r="I64" s="245"/>
      <c r="J64" s="245"/>
      <c r="K64" s="245"/>
      <c r="L64" s="245"/>
      <c r="M64" s="245"/>
      <c r="N64" s="245"/>
      <c r="O64" s="245"/>
      <c r="P64" s="245"/>
      <c r="Q64" s="245"/>
    </row>
    <row r="65">
      <c r="A65" s="245"/>
      <c r="B65" s="245"/>
      <c r="C65" s="245"/>
      <c r="D65" s="248"/>
      <c r="E65" s="248"/>
      <c r="F65" s="248"/>
      <c r="G65" s="248"/>
      <c r="H65" s="248"/>
      <c r="I65" s="245"/>
      <c r="J65" s="245"/>
      <c r="K65" s="245"/>
      <c r="L65" s="245"/>
      <c r="M65" s="245"/>
      <c r="N65" s="245"/>
      <c r="O65" s="245"/>
      <c r="P65" s="245"/>
      <c r="Q65" s="245"/>
    </row>
    <row r="66">
      <c r="A66" s="245"/>
      <c r="B66" s="245"/>
      <c r="C66" s="245"/>
      <c r="D66" s="248"/>
      <c r="E66" s="248"/>
      <c r="F66" s="248"/>
      <c r="G66" s="248"/>
      <c r="H66" s="248"/>
      <c r="I66" s="245"/>
      <c r="J66" s="245"/>
      <c r="K66" s="245"/>
      <c r="L66" s="245"/>
      <c r="M66" s="245"/>
      <c r="N66" s="245"/>
      <c r="O66" s="245"/>
      <c r="P66" s="245"/>
      <c r="Q66" s="245"/>
    </row>
    <row r="67">
      <c r="A67" s="245"/>
      <c r="B67" s="245"/>
      <c r="C67" s="245"/>
      <c r="D67" s="248"/>
      <c r="E67" s="248"/>
      <c r="F67" s="248"/>
      <c r="G67" s="248"/>
      <c r="H67" s="248"/>
      <c r="I67" s="245"/>
      <c r="J67" s="245"/>
      <c r="K67" s="245"/>
      <c r="L67" s="245"/>
      <c r="M67" s="245"/>
      <c r="N67" s="245"/>
      <c r="O67" s="245"/>
      <c r="P67" s="245"/>
      <c r="Q67" s="245"/>
    </row>
    <row r="68">
      <c r="A68" s="245"/>
      <c r="B68" s="245"/>
      <c r="C68" s="245"/>
      <c r="D68" s="248"/>
      <c r="E68" s="248"/>
      <c r="F68" s="248"/>
      <c r="G68" s="248"/>
      <c r="H68" s="248"/>
      <c r="I68" s="245"/>
      <c r="J68" s="245"/>
      <c r="K68" s="245"/>
      <c r="L68" s="245"/>
      <c r="M68" s="245"/>
      <c r="N68" s="245"/>
      <c r="O68" s="245"/>
      <c r="P68" s="245"/>
      <c r="Q68" s="245"/>
    </row>
    <row r="69">
      <c r="A69" s="245"/>
      <c r="B69" s="245"/>
      <c r="C69" s="245"/>
      <c r="D69" s="248"/>
      <c r="E69" s="248"/>
      <c r="F69" s="248"/>
      <c r="G69" s="248"/>
      <c r="H69" s="248"/>
      <c r="I69" s="245"/>
      <c r="J69" s="245"/>
      <c r="K69" s="245"/>
      <c r="L69" s="245"/>
      <c r="M69" s="245"/>
      <c r="N69" s="245"/>
      <c r="O69" s="245"/>
      <c r="P69" s="245"/>
      <c r="Q69" s="245"/>
    </row>
    <row r="70">
      <c r="A70" s="245"/>
      <c r="B70" s="245"/>
      <c r="C70" s="245"/>
      <c r="D70" s="248"/>
      <c r="E70" s="248"/>
      <c r="F70" s="248"/>
      <c r="G70" s="248"/>
      <c r="H70" s="248"/>
      <c r="I70" s="245"/>
      <c r="J70" s="245"/>
      <c r="K70" s="245"/>
      <c r="L70" s="245"/>
      <c r="M70" s="245"/>
      <c r="N70" s="245"/>
      <c r="O70" s="245"/>
      <c r="P70" s="245"/>
      <c r="Q70" s="245"/>
    </row>
    <row r="71">
      <c r="A71" s="245"/>
      <c r="B71" s="245"/>
      <c r="C71" s="245"/>
      <c r="D71" s="248"/>
      <c r="E71" s="248"/>
      <c r="F71" s="248"/>
      <c r="G71" s="248"/>
      <c r="H71" s="248"/>
      <c r="I71" s="245"/>
      <c r="J71" s="245"/>
      <c r="K71" s="245"/>
      <c r="L71" s="245"/>
      <c r="M71" s="245"/>
      <c r="N71" s="245"/>
      <c r="O71" s="245"/>
      <c r="P71" s="245"/>
      <c r="Q71" s="245"/>
    </row>
    <row r="72">
      <c r="A72" s="245"/>
      <c r="B72" s="245"/>
      <c r="C72" s="245"/>
      <c r="D72" s="248"/>
      <c r="E72" s="248"/>
      <c r="F72" s="248"/>
      <c r="G72" s="248"/>
      <c r="H72" s="248"/>
      <c r="I72" s="245"/>
      <c r="J72" s="245"/>
      <c r="K72" s="245"/>
      <c r="L72" s="245"/>
      <c r="M72" s="245"/>
      <c r="N72" s="245"/>
      <c r="O72" s="245"/>
      <c r="P72" s="245"/>
      <c r="Q72" s="245"/>
    </row>
    <row r="73">
      <c r="A73" s="245"/>
      <c r="B73" s="245"/>
      <c r="C73" s="245"/>
      <c r="D73" s="248"/>
      <c r="E73" s="248"/>
      <c r="F73" s="248"/>
      <c r="G73" s="248"/>
      <c r="H73" s="248"/>
      <c r="I73" s="245"/>
      <c r="J73" s="245"/>
      <c r="K73" s="245"/>
      <c r="L73" s="245"/>
      <c r="M73" s="245"/>
      <c r="N73" s="245"/>
      <c r="O73" s="245"/>
      <c r="P73" s="245"/>
      <c r="Q73" s="245"/>
    </row>
    <row r="74">
      <c r="A74" s="245"/>
      <c r="B74" s="245"/>
      <c r="C74" s="245"/>
      <c r="D74" s="248"/>
      <c r="E74" s="248"/>
      <c r="F74" s="248"/>
      <c r="G74" s="248"/>
      <c r="H74" s="248"/>
      <c r="I74" s="245"/>
      <c r="J74" s="245"/>
      <c r="K74" s="245"/>
      <c r="L74" s="245"/>
      <c r="M74" s="245"/>
      <c r="N74" s="245"/>
      <c r="O74" s="245"/>
      <c r="P74" s="245"/>
      <c r="Q74" s="245"/>
    </row>
    <row r="75">
      <c r="A75" s="245"/>
      <c r="B75" s="245"/>
      <c r="C75" s="245"/>
      <c r="D75" s="248"/>
      <c r="E75" s="248"/>
      <c r="F75" s="248"/>
      <c r="G75" s="248"/>
      <c r="H75" s="248"/>
      <c r="I75" s="245"/>
      <c r="J75" s="245"/>
      <c r="K75" s="245"/>
      <c r="L75" s="245"/>
      <c r="M75" s="245"/>
      <c r="N75" s="245"/>
      <c r="O75" s="245"/>
      <c r="P75" s="245"/>
      <c r="Q75" s="245"/>
    </row>
    <row r="76">
      <c r="A76" s="245"/>
      <c r="B76" s="245"/>
      <c r="C76" s="245"/>
      <c r="D76" s="248"/>
      <c r="E76" s="248"/>
      <c r="F76" s="248"/>
      <c r="G76" s="248"/>
      <c r="H76" s="248"/>
      <c r="I76" s="245"/>
      <c r="J76" s="245"/>
      <c r="K76" s="245"/>
      <c r="L76" s="245"/>
      <c r="M76" s="245"/>
      <c r="N76" s="245"/>
      <c r="O76" s="245"/>
      <c r="P76" s="245"/>
      <c r="Q76" s="245"/>
    </row>
    <row r="77">
      <c r="A77" s="245"/>
      <c r="B77" s="245"/>
      <c r="C77" s="245"/>
      <c r="D77" s="248"/>
      <c r="E77" s="248"/>
      <c r="F77" s="248"/>
      <c r="G77" s="248"/>
      <c r="H77" s="248"/>
      <c r="I77" s="245"/>
      <c r="J77" s="245"/>
      <c r="K77" s="245"/>
      <c r="L77" s="245"/>
      <c r="M77" s="245"/>
      <c r="N77" s="245"/>
      <c r="O77" s="245"/>
      <c r="P77" s="245"/>
      <c r="Q77" s="245"/>
    </row>
    <row r="78">
      <c r="A78" s="245"/>
      <c r="B78" s="245"/>
      <c r="C78" s="245"/>
      <c r="D78" s="248"/>
      <c r="E78" s="248"/>
      <c r="F78" s="248"/>
      <c r="G78" s="248"/>
      <c r="H78" s="248"/>
      <c r="I78" s="245"/>
      <c r="J78" s="245"/>
      <c r="K78" s="245"/>
      <c r="L78" s="245"/>
      <c r="M78" s="245"/>
      <c r="N78" s="245"/>
      <c r="O78" s="245"/>
      <c r="P78" s="245"/>
      <c r="Q78" s="245"/>
    </row>
    <row r="79">
      <c r="A79" s="245"/>
      <c r="B79" s="245"/>
      <c r="C79" s="245"/>
      <c r="D79" s="248"/>
      <c r="E79" s="248"/>
      <c r="F79" s="248"/>
      <c r="G79" s="248"/>
      <c r="H79" s="248"/>
      <c r="I79" s="245"/>
      <c r="J79" s="245"/>
      <c r="K79" s="245"/>
      <c r="L79" s="245"/>
      <c r="M79" s="245"/>
      <c r="N79" s="245"/>
      <c r="O79" s="245"/>
      <c r="P79" s="245"/>
      <c r="Q79" s="245"/>
    </row>
    <row r="80">
      <c r="A80" s="245"/>
      <c r="B80" s="245"/>
      <c r="C80" s="245"/>
      <c r="D80" s="248"/>
      <c r="E80" s="248"/>
      <c r="F80" s="248"/>
      <c r="G80" s="248"/>
      <c r="H80" s="248"/>
      <c r="I80" s="245"/>
      <c r="J80" s="245"/>
      <c r="K80" s="245"/>
      <c r="L80" s="245"/>
      <c r="M80" s="245"/>
      <c r="N80" s="245"/>
      <c r="O80" s="245"/>
      <c r="P80" s="245"/>
      <c r="Q80" s="245"/>
    </row>
    <row r="81">
      <c r="A81" s="245"/>
      <c r="B81" s="245"/>
      <c r="C81" s="245"/>
      <c r="D81" s="248"/>
      <c r="E81" s="248"/>
      <c r="F81" s="248"/>
      <c r="G81" s="248"/>
      <c r="H81" s="248"/>
      <c r="I81" s="245"/>
      <c r="J81" s="245"/>
      <c r="K81" s="245"/>
      <c r="L81" s="245"/>
      <c r="M81" s="245"/>
      <c r="N81" s="245"/>
      <c r="O81" s="245"/>
      <c r="P81" s="245"/>
      <c r="Q81" s="245"/>
    </row>
    <row r="82">
      <c r="A82" s="245"/>
      <c r="B82" s="245"/>
      <c r="C82" s="245"/>
      <c r="D82" s="248"/>
      <c r="E82" s="248"/>
      <c r="F82" s="248"/>
      <c r="G82" s="248"/>
      <c r="H82" s="248"/>
      <c r="I82" s="245"/>
      <c r="J82" s="245"/>
      <c r="K82" s="245"/>
      <c r="L82" s="245"/>
      <c r="M82" s="245"/>
      <c r="N82" s="245"/>
      <c r="O82" s="245"/>
      <c r="P82" s="245"/>
      <c r="Q82" s="245"/>
    </row>
    <row r="83">
      <c r="A83" s="245"/>
      <c r="B83" s="245"/>
      <c r="C83" s="245"/>
      <c r="D83" s="248"/>
      <c r="E83" s="248"/>
      <c r="F83" s="248"/>
      <c r="G83" s="248"/>
      <c r="H83" s="248"/>
      <c r="I83" s="245"/>
      <c r="J83" s="245"/>
      <c r="K83" s="245"/>
      <c r="L83" s="245"/>
      <c r="M83" s="245"/>
      <c r="N83" s="245"/>
      <c r="O83" s="245"/>
      <c r="P83" s="245"/>
      <c r="Q83" s="245"/>
    </row>
    <row r="84">
      <c r="A84" s="245"/>
      <c r="B84" s="245"/>
      <c r="C84" s="245"/>
      <c r="D84" s="248"/>
      <c r="E84" s="248"/>
      <c r="F84" s="248"/>
      <c r="G84" s="248"/>
      <c r="H84" s="248"/>
      <c r="I84" s="245"/>
      <c r="J84" s="245"/>
      <c r="K84" s="245"/>
      <c r="L84" s="245"/>
      <c r="M84" s="245"/>
      <c r="N84" s="245"/>
      <c r="O84" s="245"/>
      <c r="P84" s="245"/>
      <c r="Q84" s="245"/>
    </row>
    <row r="85">
      <c r="A85" s="245"/>
      <c r="B85" s="245"/>
      <c r="C85" s="245"/>
      <c r="D85" s="248"/>
      <c r="E85" s="248"/>
      <c r="F85" s="248"/>
      <c r="G85" s="248"/>
      <c r="H85" s="248"/>
      <c r="I85" s="245"/>
      <c r="J85" s="245"/>
      <c r="K85" s="245"/>
      <c r="L85" s="245"/>
      <c r="M85" s="245"/>
      <c r="N85" s="245"/>
      <c r="O85" s="245"/>
      <c r="P85" s="245"/>
      <c r="Q85" s="245"/>
    </row>
    <row r="86">
      <c r="A86" s="245"/>
      <c r="B86" s="245"/>
      <c r="C86" s="245"/>
      <c r="D86" s="248"/>
      <c r="E86" s="248"/>
      <c r="F86" s="248"/>
      <c r="G86" s="248"/>
      <c r="H86" s="248"/>
      <c r="I86" s="245"/>
      <c r="J86" s="245"/>
      <c r="K86" s="245"/>
      <c r="L86" s="245"/>
      <c r="M86" s="245"/>
      <c r="N86" s="245"/>
      <c r="O86" s="245"/>
      <c r="P86" s="245"/>
      <c r="Q86" s="245"/>
    </row>
    <row r="87">
      <c r="A87" s="245"/>
      <c r="B87" s="245"/>
      <c r="C87" s="245"/>
      <c r="D87" s="248"/>
      <c r="E87" s="248"/>
      <c r="F87" s="248"/>
      <c r="G87" s="248"/>
      <c r="H87" s="248"/>
      <c r="I87" s="245"/>
      <c r="J87" s="245"/>
      <c r="K87" s="245"/>
      <c r="L87" s="245"/>
      <c r="M87" s="245"/>
      <c r="N87" s="245"/>
      <c r="O87" s="245"/>
      <c r="P87" s="245"/>
      <c r="Q87" s="245"/>
    </row>
    <row r="88">
      <c r="A88" s="245"/>
      <c r="B88" s="245"/>
      <c r="C88" s="245"/>
      <c r="D88" s="248"/>
      <c r="E88" s="248"/>
      <c r="F88" s="248"/>
      <c r="G88" s="248"/>
      <c r="H88" s="248"/>
      <c r="I88" s="245"/>
      <c r="J88" s="245"/>
      <c r="K88" s="245"/>
      <c r="L88" s="245"/>
      <c r="M88" s="245"/>
      <c r="N88" s="245"/>
      <c r="O88" s="245"/>
      <c r="P88" s="245"/>
      <c r="Q88" s="245"/>
    </row>
    <row r="89">
      <c r="A89" s="245"/>
      <c r="B89" s="245"/>
      <c r="C89" s="245"/>
      <c r="D89" s="248"/>
      <c r="E89" s="248"/>
      <c r="F89" s="248"/>
      <c r="G89" s="248"/>
      <c r="H89" s="248"/>
      <c r="I89" s="245"/>
      <c r="J89" s="245"/>
      <c r="K89" s="245"/>
      <c r="L89" s="245"/>
      <c r="M89" s="245"/>
      <c r="N89" s="245"/>
      <c r="O89" s="245"/>
      <c r="P89" s="245"/>
      <c r="Q89" s="245"/>
    </row>
    <row r="90">
      <c r="A90" s="245"/>
      <c r="B90" s="245"/>
      <c r="C90" s="245"/>
      <c r="D90" s="248"/>
      <c r="E90" s="248"/>
      <c r="F90" s="248"/>
      <c r="G90" s="248"/>
      <c r="H90" s="248"/>
      <c r="I90" s="245"/>
      <c r="J90" s="245"/>
      <c r="K90" s="245"/>
      <c r="L90" s="245"/>
      <c r="M90" s="245"/>
      <c r="N90" s="245"/>
      <c r="O90" s="245"/>
      <c r="P90" s="245"/>
      <c r="Q90" s="245"/>
    </row>
    <row r="91">
      <c r="A91" s="245"/>
      <c r="B91" s="245"/>
      <c r="C91" s="245"/>
      <c r="D91" s="248"/>
      <c r="E91" s="248"/>
      <c r="F91" s="248"/>
      <c r="G91" s="248"/>
      <c r="H91" s="248"/>
      <c r="I91" s="245"/>
      <c r="J91" s="245"/>
      <c r="K91" s="245"/>
      <c r="L91" s="245"/>
      <c r="M91" s="245"/>
      <c r="N91" s="245"/>
      <c r="O91" s="245"/>
      <c r="P91" s="245"/>
      <c r="Q91" s="245"/>
    </row>
    <row r="92">
      <c r="A92" s="245"/>
      <c r="B92" s="245"/>
      <c r="C92" s="245"/>
      <c r="D92" s="248"/>
      <c r="E92" s="248"/>
      <c r="F92" s="248"/>
      <c r="G92" s="248"/>
      <c r="H92" s="248"/>
      <c r="I92" s="245"/>
      <c r="J92" s="245"/>
      <c r="K92" s="245"/>
      <c r="L92" s="245"/>
      <c r="M92" s="245"/>
      <c r="N92" s="245"/>
      <c r="O92" s="245"/>
      <c r="P92" s="245"/>
      <c r="Q92" s="245"/>
    </row>
    <row r="93">
      <c r="A93" s="245"/>
      <c r="B93" s="245"/>
      <c r="C93" s="245"/>
      <c r="D93" s="248"/>
      <c r="E93" s="248"/>
      <c r="F93" s="248"/>
      <c r="G93" s="248"/>
      <c r="H93" s="248"/>
      <c r="I93" s="245"/>
      <c r="J93" s="245"/>
      <c r="K93" s="245"/>
      <c r="L93" s="245"/>
      <c r="M93" s="245"/>
      <c r="N93" s="245"/>
      <c r="O93" s="245"/>
      <c r="P93" s="245"/>
      <c r="Q93" s="245"/>
    </row>
    <row r="94">
      <c r="A94" s="245"/>
      <c r="B94" s="245"/>
      <c r="C94" s="245"/>
      <c r="D94" s="248"/>
      <c r="E94" s="248"/>
      <c r="F94" s="248"/>
      <c r="G94" s="248"/>
      <c r="H94" s="248"/>
      <c r="I94" s="245"/>
      <c r="J94" s="245"/>
      <c r="K94" s="245"/>
      <c r="L94" s="245"/>
      <c r="M94" s="245"/>
      <c r="N94" s="245"/>
      <c r="O94" s="245"/>
      <c r="P94" s="245"/>
      <c r="Q94" s="245"/>
    </row>
    <row r="95">
      <c r="A95" s="245"/>
      <c r="B95" s="245"/>
      <c r="C95" s="245"/>
      <c r="D95" s="248"/>
      <c r="E95" s="248"/>
      <c r="F95" s="248"/>
      <c r="G95" s="248"/>
      <c r="H95" s="248"/>
      <c r="I95" s="245"/>
      <c r="J95" s="245"/>
      <c r="K95" s="245"/>
      <c r="L95" s="245"/>
      <c r="M95" s="245"/>
      <c r="N95" s="245"/>
      <c r="O95" s="245"/>
      <c r="P95" s="245"/>
      <c r="Q95" s="245"/>
    </row>
    <row r="96">
      <c r="A96" s="245"/>
      <c r="B96" s="245"/>
      <c r="C96" s="245"/>
      <c r="D96" s="248"/>
      <c r="E96" s="248"/>
      <c r="F96" s="248"/>
      <c r="G96" s="248"/>
      <c r="H96" s="248"/>
      <c r="I96" s="245"/>
      <c r="J96" s="245"/>
      <c r="K96" s="245"/>
      <c r="L96" s="245"/>
      <c r="M96" s="245"/>
      <c r="N96" s="245"/>
      <c r="O96" s="245"/>
      <c r="P96" s="245"/>
      <c r="Q96" s="245"/>
    </row>
    <row r="97">
      <c r="A97" s="245"/>
      <c r="B97" s="245"/>
      <c r="C97" s="245"/>
      <c r="D97" s="248"/>
      <c r="E97" s="248"/>
      <c r="F97" s="248"/>
      <c r="G97" s="248"/>
      <c r="H97" s="248"/>
      <c r="I97" s="245"/>
      <c r="J97" s="245"/>
      <c r="K97" s="245"/>
      <c r="L97" s="245"/>
      <c r="M97" s="245"/>
      <c r="N97" s="245"/>
      <c r="O97" s="245"/>
      <c r="P97" s="245"/>
      <c r="Q97" s="245"/>
    </row>
    <row r="98">
      <c r="A98" s="245"/>
      <c r="B98" s="245"/>
      <c r="C98" s="245"/>
      <c r="D98" s="248"/>
      <c r="E98" s="248"/>
      <c r="F98" s="248"/>
      <c r="G98" s="248"/>
      <c r="H98" s="248"/>
      <c r="I98" s="245"/>
      <c r="J98" s="245"/>
      <c r="K98" s="245"/>
      <c r="L98" s="245"/>
      <c r="M98" s="245"/>
      <c r="N98" s="245"/>
      <c r="O98" s="245"/>
      <c r="P98" s="245"/>
      <c r="Q98" s="245"/>
    </row>
    <row r="99">
      <c r="A99" s="245"/>
      <c r="B99" s="245"/>
      <c r="C99" s="245"/>
      <c r="D99" s="248"/>
      <c r="E99" s="248"/>
      <c r="F99" s="248"/>
      <c r="G99" s="248"/>
      <c r="H99" s="248"/>
      <c r="I99" s="245"/>
      <c r="J99" s="245"/>
      <c r="K99" s="245"/>
      <c r="L99" s="245"/>
      <c r="M99" s="245"/>
      <c r="N99" s="245"/>
      <c r="O99" s="245"/>
      <c r="P99" s="245"/>
      <c r="Q99" s="245"/>
    </row>
    <row r="100">
      <c r="A100" s="245"/>
      <c r="B100" s="245"/>
      <c r="C100" s="245"/>
      <c r="D100" s="248"/>
      <c r="E100" s="248"/>
      <c r="F100" s="248"/>
      <c r="G100" s="248"/>
      <c r="H100" s="248"/>
      <c r="I100" s="245"/>
      <c r="J100" s="245"/>
      <c r="K100" s="245"/>
      <c r="L100" s="245"/>
      <c r="M100" s="245"/>
      <c r="N100" s="245"/>
      <c r="O100" s="245"/>
      <c r="P100" s="245"/>
      <c r="Q100" s="245"/>
    </row>
    <row r="101">
      <c r="A101" s="245"/>
      <c r="B101" s="245"/>
      <c r="C101" s="245"/>
      <c r="D101" s="248"/>
      <c r="E101" s="248"/>
      <c r="F101" s="248"/>
      <c r="G101" s="248"/>
      <c r="H101" s="248"/>
      <c r="I101" s="245"/>
      <c r="J101" s="245"/>
      <c r="K101" s="245"/>
      <c r="L101" s="245"/>
      <c r="M101" s="245"/>
      <c r="N101" s="245"/>
      <c r="O101" s="245"/>
      <c r="P101" s="245"/>
      <c r="Q101" s="245"/>
    </row>
    <row r="102">
      <c r="A102" s="245"/>
      <c r="B102" s="245"/>
      <c r="C102" s="245"/>
      <c r="D102" s="248"/>
      <c r="E102" s="248"/>
      <c r="F102" s="248"/>
      <c r="G102" s="248"/>
      <c r="H102" s="248"/>
      <c r="I102" s="245"/>
      <c r="J102" s="245"/>
      <c r="K102" s="245"/>
      <c r="L102" s="245"/>
      <c r="M102" s="245"/>
      <c r="N102" s="245"/>
      <c r="O102" s="245"/>
      <c r="P102" s="245"/>
      <c r="Q102" s="245"/>
    </row>
    <row r="103">
      <c r="A103" s="245"/>
      <c r="B103" s="245"/>
      <c r="C103" s="245"/>
      <c r="D103" s="248"/>
      <c r="E103" s="248"/>
      <c r="F103" s="248"/>
      <c r="G103" s="248"/>
      <c r="H103" s="248"/>
      <c r="I103" s="245"/>
      <c r="J103" s="245"/>
      <c r="K103" s="245"/>
      <c r="L103" s="245"/>
      <c r="M103" s="245"/>
      <c r="N103" s="245"/>
      <c r="O103" s="245"/>
      <c r="P103" s="245"/>
      <c r="Q103" s="245"/>
    </row>
    <row r="104">
      <c r="A104" s="245"/>
      <c r="B104" s="245"/>
      <c r="C104" s="245"/>
      <c r="D104" s="248"/>
      <c r="E104" s="248"/>
      <c r="F104" s="248"/>
      <c r="G104" s="248"/>
      <c r="H104" s="248"/>
      <c r="I104" s="245"/>
      <c r="J104" s="245"/>
      <c r="K104" s="245"/>
      <c r="L104" s="245"/>
      <c r="M104" s="245"/>
      <c r="N104" s="245"/>
      <c r="O104" s="245"/>
      <c r="P104" s="245"/>
      <c r="Q104" s="245"/>
    </row>
    <row r="105">
      <c r="A105" s="245"/>
      <c r="B105" s="245"/>
      <c r="C105" s="245"/>
      <c r="D105" s="248"/>
      <c r="E105" s="248"/>
      <c r="F105" s="248"/>
      <c r="G105" s="248"/>
      <c r="H105" s="248"/>
      <c r="I105" s="245"/>
      <c r="J105" s="245"/>
      <c r="K105" s="245"/>
      <c r="L105" s="245"/>
      <c r="M105" s="245"/>
      <c r="N105" s="245"/>
      <c r="O105" s="245"/>
      <c r="P105" s="245"/>
      <c r="Q105" s="245"/>
    </row>
    <row r="106">
      <c r="A106" s="245"/>
      <c r="B106" s="245"/>
      <c r="C106" s="245"/>
      <c r="D106" s="248"/>
      <c r="E106" s="248"/>
      <c r="F106" s="248"/>
      <c r="G106" s="248"/>
      <c r="H106" s="248"/>
      <c r="I106" s="245"/>
      <c r="J106" s="245"/>
      <c r="K106" s="245"/>
      <c r="L106" s="245"/>
      <c r="M106" s="245"/>
      <c r="N106" s="245"/>
      <c r="O106" s="245"/>
      <c r="P106" s="245"/>
      <c r="Q106" s="245"/>
    </row>
    <row r="107">
      <c r="A107" s="245"/>
      <c r="B107" s="245"/>
      <c r="C107" s="245"/>
      <c r="D107" s="248"/>
      <c r="E107" s="248"/>
      <c r="F107" s="248"/>
      <c r="G107" s="248"/>
      <c r="H107" s="248"/>
      <c r="I107" s="245"/>
      <c r="J107" s="245"/>
      <c r="K107" s="245"/>
      <c r="L107" s="245"/>
      <c r="M107" s="245"/>
      <c r="N107" s="245"/>
      <c r="O107" s="245"/>
      <c r="P107" s="245"/>
      <c r="Q107" s="245"/>
    </row>
    <row r="108">
      <c r="A108" s="245"/>
      <c r="B108" s="245"/>
      <c r="C108" s="245"/>
      <c r="D108" s="248"/>
      <c r="E108" s="248"/>
      <c r="F108" s="248"/>
      <c r="G108" s="248"/>
      <c r="H108" s="248"/>
      <c r="I108" s="245"/>
      <c r="J108" s="245"/>
      <c r="K108" s="245"/>
      <c r="L108" s="245"/>
      <c r="M108" s="245"/>
      <c r="N108" s="245"/>
      <c r="O108" s="245"/>
      <c r="P108" s="245"/>
      <c r="Q108" s="245"/>
    </row>
    <row r="109">
      <c r="A109" s="245"/>
      <c r="B109" s="245"/>
      <c r="C109" s="245"/>
      <c r="D109" s="248"/>
      <c r="E109" s="248"/>
      <c r="F109" s="248"/>
      <c r="G109" s="248"/>
      <c r="H109" s="248"/>
      <c r="I109" s="245"/>
      <c r="J109" s="245"/>
      <c r="K109" s="245"/>
      <c r="L109" s="245"/>
      <c r="M109" s="245"/>
      <c r="N109" s="245"/>
      <c r="O109" s="245"/>
      <c r="P109" s="245"/>
      <c r="Q109" s="245"/>
    </row>
    <row r="110">
      <c r="A110" s="245"/>
      <c r="B110" s="245"/>
      <c r="C110" s="245"/>
      <c r="D110" s="248"/>
      <c r="E110" s="248"/>
      <c r="F110" s="248"/>
      <c r="G110" s="248"/>
      <c r="H110" s="248"/>
      <c r="I110" s="245"/>
      <c r="J110" s="245"/>
      <c r="K110" s="245"/>
      <c r="L110" s="245"/>
      <c r="M110" s="245"/>
      <c r="N110" s="245"/>
      <c r="O110" s="245"/>
      <c r="P110" s="245"/>
      <c r="Q110" s="245"/>
    </row>
    <row r="111">
      <c r="A111" s="245"/>
      <c r="B111" s="245"/>
      <c r="C111" s="245"/>
      <c r="D111" s="248"/>
      <c r="E111" s="248"/>
      <c r="F111" s="248"/>
      <c r="G111" s="248"/>
      <c r="H111" s="248"/>
      <c r="I111" s="245"/>
      <c r="J111" s="245"/>
      <c r="K111" s="245"/>
      <c r="L111" s="245"/>
      <c r="M111" s="245"/>
      <c r="N111" s="245"/>
      <c r="O111" s="245"/>
      <c r="P111" s="245"/>
      <c r="Q111" s="245"/>
    </row>
    <row r="112">
      <c r="A112" s="245"/>
      <c r="B112" s="245"/>
      <c r="C112" s="245"/>
      <c r="D112" s="248"/>
      <c r="E112" s="248"/>
      <c r="F112" s="248"/>
      <c r="G112" s="248"/>
      <c r="H112" s="248"/>
      <c r="I112" s="245"/>
      <c r="J112" s="245"/>
      <c r="K112" s="245"/>
      <c r="L112" s="245"/>
      <c r="M112" s="245"/>
      <c r="N112" s="245"/>
      <c r="O112" s="245"/>
      <c r="P112" s="245"/>
      <c r="Q112" s="245"/>
    </row>
    <row r="113">
      <c r="A113" s="245"/>
      <c r="B113" s="245"/>
      <c r="C113" s="245"/>
      <c r="D113" s="248"/>
      <c r="E113" s="248"/>
      <c r="F113" s="248"/>
      <c r="G113" s="248"/>
      <c r="H113" s="248"/>
      <c r="I113" s="245"/>
      <c r="J113" s="245"/>
      <c r="K113" s="245"/>
      <c r="L113" s="245"/>
      <c r="M113" s="245"/>
      <c r="N113" s="245"/>
      <c r="O113" s="245"/>
      <c r="P113" s="245"/>
      <c r="Q113" s="245"/>
    </row>
    <row r="114">
      <c r="A114" s="245"/>
      <c r="B114" s="245"/>
      <c r="C114" s="245"/>
      <c r="D114" s="248"/>
      <c r="E114" s="248"/>
      <c r="F114" s="248"/>
      <c r="G114" s="248"/>
      <c r="H114" s="248"/>
      <c r="I114" s="245"/>
      <c r="J114" s="245"/>
      <c r="K114" s="245"/>
      <c r="L114" s="245"/>
      <c r="M114" s="245"/>
      <c r="N114" s="245"/>
      <c r="O114" s="245"/>
      <c r="P114" s="245"/>
      <c r="Q114" s="245"/>
    </row>
    <row r="115">
      <c r="A115" s="245"/>
      <c r="B115" s="245"/>
      <c r="C115" s="245"/>
      <c r="D115" s="248"/>
      <c r="E115" s="248"/>
      <c r="F115" s="248"/>
      <c r="G115" s="248"/>
      <c r="H115" s="248"/>
      <c r="I115" s="245"/>
      <c r="J115" s="245"/>
      <c r="K115" s="245"/>
      <c r="L115" s="245"/>
      <c r="M115" s="245"/>
      <c r="N115" s="245"/>
      <c r="O115" s="245"/>
      <c r="P115" s="245"/>
      <c r="Q115" s="245"/>
    </row>
    <row r="116">
      <c r="A116" s="245"/>
      <c r="B116" s="245"/>
      <c r="C116" s="245"/>
      <c r="D116" s="248"/>
      <c r="E116" s="248"/>
      <c r="F116" s="248"/>
      <c r="G116" s="248"/>
      <c r="H116" s="248"/>
      <c r="I116" s="245"/>
      <c r="J116" s="245"/>
      <c r="K116" s="245"/>
      <c r="L116" s="245"/>
      <c r="M116" s="245"/>
      <c r="N116" s="245"/>
      <c r="O116" s="245"/>
      <c r="P116" s="245"/>
      <c r="Q116" s="245"/>
    </row>
    <row r="117">
      <c r="A117" s="245"/>
      <c r="B117" s="245"/>
      <c r="C117" s="245"/>
      <c r="D117" s="248"/>
      <c r="E117" s="248"/>
      <c r="F117" s="248"/>
      <c r="G117" s="248"/>
      <c r="H117" s="248"/>
      <c r="I117" s="245"/>
      <c r="J117" s="245"/>
      <c r="K117" s="245"/>
      <c r="L117" s="245"/>
      <c r="M117" s="245"/>
      <c r="N117" s="245"/>
      <c r="O117" s="245"/>
      <c r="P117" s="245"/>
      <c r="Q117" s="245"/>
    </row>
    <row r="118">
      <c r="A118" s="245"/>
      <c r="B118" s="245"/>
      <c r="C118" s="245"/>
      <c r="D118" s="248"/>
      <c r="E118" s="248"/>
      <c r="F118" s="248"/>
      <c r="G118" s="248"/>
      <c r="H118" s="248"/>
      <c r="I118" s="245"/>
      <c r="J118" s="245"/>
      <c r="K118" s="245"/>
      <c r="L118" s="245"/>
      <c r="M118" s="245"/>
      <c r="N118" s="245"/>
      <c r="O118" s="245"/>
      <c r="P118" s="245"/>
      <c r="Q118" s="245"/>
    </row>
    <row r="119">
      <c r="A119" s="245"/>
      <c r="B119" s="245"/>
      <c r="C119" s="245"/>
      <c r="D119" s="248"/>
      <c r="E119" s="248"/>
      <c r="F119" s="248"/>
      <c r="G119" s="248"/>
      <c r="H119" s="248"/>
      <c r="I119" s="245"/>
      <c r="J119" s="245"/>
      <c r="K119" s="245"/>
      <c r="L119" s="245"/>
      <c r="M119" s="245"/>
      <c r="N119" s="245"/>
      <c r="O119" s="245"/>
      <c r="P119" s="245"/>
      <c r="Q119" s="245"/>
    </row>
    <row r="120">
      <c r="A120" s="245"/>
      <c r="B120" s="245"/>
      <c r="C120" s="245"/>
      <c r="D120" s="248"/>
      <c r="E120" s="248"/>
      <c r="F120" s="248"/>
      <c r="G120" s="248"/>
      <c r="H120" s="248"/>
      <c r="I120" s="245"/>
      <c r="J120" s="245"/>
      <c r="K120" s="245"/>
      <c r="L120" s="245"/>
      <c r="M120" s="245"/>
      <c r="N120" s="245"/>
      <c r="O120" s="245"/>
      <c r="P120" s="245"/>
      <c r="Q120" s="245"/>
    </row>
    <row r="121">
      <c r="A121" s="245"/>
      <c r="B121" s="245"/>
      <c r="C121" s="245"/>
      <c r="D121" s="248"/>
      <c r="E121" s="248"/>
      <c r="F121" s="248"/>
      <c r="G121" s="248"/>
      <c r="H121" s="248"/>
      <c r="I121" s="245"/>
      <c r="J121" s="245"/>
      <c r="K121" s="245"/>
      <c r="L121" s="245"/>
      <c r="M121" s="245"/>
      <c r="N121" s="245"/>
      <c r="O121" s="245"/>
      <c r="P121" s="245"/>
      <c r="Q121" s="245"/>
    </row>
    <row r="122">
      <c r="A122" s="245"/>
      <c r="B122" s="245"/>
      <c r="C122" s="245"/>
      <c r="D122" s="248"/>
      <c r="E122" s="248"/>
      <c r="F122" s="248"/>
      <c r="G122" s="248"/>
      <c r="H122" s="248"/>
      <c r="I122" s="245"/>
      <c r="J122" s="245"/>
      <c r="K122" s="245"/>
      <c r="L122" s="245"/>
      <c r="M122" s="245"/>
      <c r="N122" s="245"/>
      <c r="O122" s="245"/>
      <c r="P122" s="245"/>
      <c r="Q122" s="245"/>
    </row>
    <row r="123">
      <c r="A123" s="245"/>
      <c r="B123" s="245"/>
      <c r="C123" s="245"/>
      <c r="D123" s="248"/>
      <c r="E123" s="248"/>
      <c r="F123" s="248"/>
      <c r="G123" s="248"/>
      <c r="H123" s="248"/>
      <c r="I123" s="245"/>
      <c r="J123" s="245"/>
      <c r="K123" s="245"/>
      <c r="L123" s="245"/>
      <c r="M123" s="245"/>
      <c r="N123" s="245"/>
      <c r="O123" s="245"/>
      <c r="P123" s="245"/>
      <c r="Q123" s="245"/>
    </row>
    <row r="124">
      <c r="A124" s="245"/>
      <c r="B124" s="245"/>
      <c r="C124" s="245"/>
      <c r="D124" s="248"/>
      <c r="E124" s="248"/>
      <c r="F124" s="248"/>
      <c r="G124" s="248"/>
      <c r="H124" s="248"/>
      <c r="I124" s="245"/>
      <c r="J124" s="245"/>
      <c r="K124" s="245"/>
      <c r="L124" s="245"/>
      <c r="M124" s="245"/>
      <c r="N124" s="245"/>
      <c r="O124" s="245"/>
      <c r="P124" s="245"/>
      <c r="Q124" s="245"/>
    </row>
    <row r="125">
      <c r="A125" s="245"/>
      <c r="B125" s="245"/>
      <c r="C125" s="245"/>
      <c r="D125" s="248"/>
      <c r="E125" s="248"/>
      <c r="F125" s="248"/>
      <c r="G125" s="248"/>
      <c r="H125" s="248"/>
      <c r="I125" s="245"/>
      <c r="J125" s="245"/>
      <c r="K125" s="245"/>
      <c r="L125" s="245"/>
      <c r="M125" s="245"/>
      <c r="N125" s="245"/>
      <c r="O125" s="245"/>
      <c r="P125" s="245"/>
      <c r="Q125" s="245"/>
    </row>
    <row r="126">
      <c r="A126" s="245"/>
      <c r="B126" s="245"/>
      <c r="C126" s="245"/>
      <c r="D126" s="248"/>
      <c r="E126" s="248"/>
      <c r="F126" s="248"/>
      <c r="G126" s="248"/>
      <c r="H126" s="248"/>
      <c r="I126" s="245"/>
      <c r="J126" s="245"/>
      <c r="K126" s="245"/>
      <c r="L126" s="245"/>
      <c r="M126" s="245"/>
      <c r="N126" s="245"/>
      <c r="O126" s="245"/>
      <c r="P126" s="245"/>
      <c r="Q126" s="245"/>
    </row>
    <row r="127">
      <c r="A127" s="245"/>
      <c r="B127" s="245"/>
      <c r="C127" s="245"/>
      <c r="D127" s="248"/>
      <c r="E127" s="248"/>
      <c r="F127" s="248"/>
      <c r="G127" s="248"/>
      <c r="H127" s="248"/>
      <c r="I127" s="245"/>
      <c r="J127" s="245"/>
      <c r="K127" s="245"/>
      <c r="L127" s="245"/>
      <c r="M127" s="245"/>
      <c r="N127" s="245"/>
      <c r="O127" s="245"/>
      <c r="P127" s="245"/>
      <c r="Q127" s="245"/>
    </row>
    <row r="128">
      <c r="A128" s="245"/>
      <c r="B128" s="245"/>
      <c r="C128" s="245"/>
      <c r="D128" s="248"/>
      <c r="E128" s="248"/>
      <c r="F128" s="248"/>
      <c r="G128" s="248"/>
      <c r="H128" s="248"/>
      <c r="I128" s="245"/>
      <c r="J128" s="245"/>
      <c r="K128" s="245"/>
      <c r="L128" s="245"/>
      <c r="M128" s="245"/>
      <c r="N128" s="245"/>
      <c r="O128" s="245"/>
      <c r="P128" s="245"/>
      <c r="Q128" s="245"/>
    </row>
    <row r="129">
      <c r="A129" s="245"/>
      <c r="B129" s="245"/>
      <c r="C129" s="245"/>
      <c r="D129" s="248"/>
      <c r="E129" s="248"/>
      <c r="F129" s="248"/>
      <c r="G129" s="248"/>
      <c r="H129" s="248"/>
      <c r="I129" s="245"/>
      <c r="J129" s="245"/>
      <c r="K129" s="245"/>
      <c r="L129" s="245"/>
      <c r="M129" s="245"/>
      <c r="N129" s="245"/>
      <c r="O129" s="245"/>
      <c r="P129" s="245"/>
      <c r="Q129" s="245"/>
    </row>
    <row r="130">
      <c r="A130" s="245"/>
      <c r="B130" s="245"/>
      <c r="C130" s="245"/>
      <c r="D130" s="248"/>
      <c r="E130" s="248"/>
      <c r="F130" s="248"/>
      <c r="G130" s="248"/>
      <c r="H130" s="248"/>
      <c r="I130" s="245"/>
      <c r="J130" s="245"/>
      <c r="K130" s="245"/>
      <c r="L130" s="245"/>
      <c r="M130" s="245"/>
      <c r="N130" s="245"/>
      <c r="O130" s="245"/>
      <c r="P130" s="245"/>
      <c r="Q130" s="245"/>
    </row>
    <row r="131">
      <c r="A131" s="245"/>
      <c r="B131" s="245"/>
      <c r="C131" s="245"/>
      <c r="D131" s="248"/>
      <c r="E131" s="248"/>
      <c r="F131" s="248"/>
      <c r="G131" s="248"/>
      <c r="H131" s="248"/>
      <c r="I131" s="245"/>
      <c r="J131" s="245"/>
      <c r="K131" s="245"/>
      <c r="L131" s="245"/>
      <c r="M131" s="245"/>
      <c r="N131" s="245"/>
      <c r="O131" s="245"/>
      <c r="P131" s="245"/>
      <c r="Q131" s="245"/>
    </row>
    <row r="132">
      <c r="A132" s="245"/>
      <c r="B132" s="245"/>
      <c r="C132" s="245"/>
      <c r="D132" s="248"/>
      <c r="E132" s="248"/>
      <c r="F132" s="248"/>
      <c r="G132" s="248"/>
      <c r="H132" s="248"/>
      <c r="I132" s="245"/>
      <c r="J132" s="245"/>
      <c r="K132" s="245"/>
      <c r="L132" s="245"/>
      <c r="M132" s="245"/>
      <c r="N132" s="245"/>
      <c r="O132" s="245"/>
      <c r="P132" s="245"/>
      <c r="Q132" s="245"/>
    </row>
    <row r="133">
      <c r="A133" s="245"/>
      <c r="B133" s="245"/>
      <c r="C133" s="245"/>
      <c r="D133" s="248"/>
      <c r="E133" s="248"/>
      <c r="F133" s="248"/>
      <c r="G133" s="248"/>
      <c r="H133" s="248"/>
      <c r="I133" s="245"/>
      <c r="J133" s="245"/>
      <c r="K133" s="245"/>
      <c r="L133" s="245"/>
      <c r="M133" s="245"/>
      <c r="N133" s="245"/>
      <c r="O133" s="245"/>
      <c r="P133" s="245"/>
      <c r="Q133" s="245"/>
    </row>
    <row r="134">
      <c r="A134" s="245"/>
      <c r="B134" s="245"/>
      <c r="C134" s="245"/>
      <c r="D134" s="248"/>
      <c r="E134" s="248"/>
      <c r="F134" s="248"/>
      <c r="G134" s="248"/>
      <c r="H134" s="248"/>
      <c r="I134" s="245"/>
      <c r="J134" s="245"/>
      <c r="K134" s="245"/>
      <c r="L134" s="245"/>
      <c r="M134" s="245"/>
      <c r="N134" s="245"/>
      <c r="O134" s="245"/>
      <c r="P134" s="245"/>
      <c r="Q134" s="245"/>
    </row>
    <row r="135">
      <c r="A135" s="245"/>
      <c r="B135" s="245"/>
      <c r="C135" s="245"/>
      <c r="D135" s="248"/>
      <c r="E135" s="248"/>
      <c r="F135" s="248"/>
      <c r="G135" s="248"/>
      <c r="H135" s="248"/>
      <c r="I135" s="245"/>
      <c r="J135" s="245"/>
      <c r="K135" s="245"/>
      <c r="L135" s="245"/>
      <c r="M135" s="245"/>
      <c r="N135" s="245"/>
      <c r="O135" s="245"/>
      <c r="P135" s="245"/>
      <c r="Q135" s="245"/>
    </row>
    <row r="136">
      <c r="A136" s="245"/>
      <c r="B136" s="245"/>
      <c r="C136" s="245"/>
      <c r="D136" s="248"/>
      <c r="E136" s="248"/>
      <c r="F136" s="248"/>
      <c r="G136" s="248"/>
      <c r="H136" s="248"/>
      <c r="I136" s="245"/>
      <c r="J136" s="245"/>
      <c r="K136" s="245"/>
      <c r="L136" s="245"/>
      <c r="M136" s="245"/>
      <c r="N136" s="245"/>
      <c r="O136" s="245"/>
      <c r="P136" s="245"/>
      <c r="Q136" s="245"/>
    </row>
    <row r="137">
      <c r="A137" s="245"/>
      <c r="B137" s="245"/>
      <c r="C137" s="245"/>
      <c r="D137" s="248"/>
      <c r="E137" s="248"/>
      <c r="F137" s="248"/>
      <c r="G137" s="248"/>
      <c r="H137" s="248"/>
      <c r="I137" s="245"/>
      <c r="J137" s="245"/>
      <c r="K137" s="245"/>
      <c r="L137" s="245"/>
      <c r="M137" s="245"/>
      <c r="N137" s="245"/>
      <c r="O137" s="245"/>
      <c r="P137" s="245"/>
      <c r="Q137" s="245"/>
    </row>
    <row r="138">
      <c r="A138" s="245"/>
      <c r="B138" s="245"/>
      <c r="C138" s="245"/>
      <c r="D138" s="248"/>
      <c r="E138" s="248"/>
      <c r="F138" s="248"/>
      <c r="G138" s="248"/>
      <c r="H138" s="248"/>
      <c r="I138" s="245"/>
      <c r="J138" s="245"/>
      <c r="K138" s="245"/>
      <c r="L138" s="245"/>
      <c r="M138" s="245"/>
      <c r="N138" s="245"/>
      <c r="O138" s="245"/>
      <c r="P138" s="245"/>
      <c r="Q138" s="245"/>
    </row>
    <row r="139">
      <c r="A139" s="245"/>
      <c r="B139" s="245"/>
      <c r="C139" s="245"/>
      <c r="D139" s="248"/>
      <c r="E139" s="248"/>
      <c r="F139" s="248"/>
      <c r="G139" s="248"/>
      <c r="H139" s="248"/>
      <c r="I139" s="245"/>
      <c r="J139" s="245"/>
      <c r="K139" s="245"/>
      <c r="L139" s="245"/>
      <c r="M139" s="245"/>
      <c r="N139" s="245"/>
      <c r="O139" s="245"/>
      <c r="P139" s="245"/>
      <c r="Q139" s="245"/>
    </row>
    <row r="140">
      <c r="A140" s="245"/>
      <c r="B140" s="245"/>
      <c r="C140" s="245"/>
      <c r="D140" s="248"/>
      <c r="E140" s="248"/>
      <c r="F140" s="248"/>
      <c r="G140" s="248"/>
      <c r="H140" s="248"/>
      <c r="I140" s="245"/>
      <c r="J140" s="245"/>
      <c r="K140" s="245"/>
      <c r="L140" s="245"/>
      <c r="M140" s="245"/>
      <c r="N140" s="245"/>
      <c r="O140" s="245"/>
      <c r="P140" s="245"/>
      <c r="Q140" s="245"/>
    </row>
    <row r="141">
      <c r="A141" s="245"/>
      <c r="B141" s="245"/>
      <c r="C141" s="245"/>
      <c r="D141" s="248"/>
      <c r="E141" s="248"/>
      <c r="F141" s="248"/>
      <c r="G141" s="248"/>
      <c r="H141" s="248"/>
      <c r="I141" s="245"/>
      <c r="J141" s="245"/>
      <c r="K141" s="245"/>
      <c r="L141" s="245"/>
      <c r="M141" s="245"/>
      <c r="N141" s="245"/>
      <c r="O141" s="245"/>
      <c r="P141" s="245"/>
      <c r="Q141" s="245"/>
    </row>
    <row r="142">
      <c r="A142" s="245"/>
      <c r="B142" s="245"/>
      <c r="C142" s="245"/>
      <c r="D142" s="248"/>
      <c r="E142" s="248"/>
      <c r="F142" s="248"/>
      <c r="G142" s="248"/>
      <c r="H142" s="248"/>
      <c r="I142" s="245"/>
      <c r="J142" s="245"/>
      <c r="K142" s="245"/>
      <c r="L142" s="245"/>
      <c r="M142" s="245"/>
      <c r="N142" s="245"/>
      <c r="O142" s="245"/>
      <c r="P142" s="245"/>
      <c r="Q142" s="245"/>
    </row>
    <row r="143">
      <c r="A143" s="245"/>
      <c r="B143" s="245"/>
      <c r="C143" s="245"/>
      <c r="D143" s="248"/>
      <c r="E143" s="248"/>
      <c r="F143" s="248"/>
      <c r="G143" s="248"/>
      <c r="H143" s="248"/>
      <c r="I143" s="245"/>
      <c r="J143" s="245"/>
      <c r="K143" s="245"/>
      <c r="L143" s="245"/>
      <c r="M143" s="245"/>
      <c r="N143" s="245"/>
      <c r="O143" s="245"/>
      <c r="P143" s="245"/>
      <c r="Q143" s="245"/>
    </row>
    <row r="144">
      <c r="A144" s="245"/>
      <c r="B144" s="245"/>
      <c r="C144" s="245"/>
      <c r="D144" s="248"/>
      <c r="E144" s="248"/>
      <c r="F144" s="248"/>
      <c r="G144" s="248"/>
      <c r="H144" s="248"/>
      <c r="I144" s="245"/>
      <c r="J144" s="245"/>
      <c r="K144" s="245"/>
      <c r="L144" s="245"/>
      <c r="M144" s="245"/>
      <c r="N144" s="245"/>
      <c r="O144" s="245"/>
      <c r="P144" s="245"/>
      <c r="Q144" s="245"/>
    </row>
    <row r="145">
      <c r="A145" s="245"/>
      <c r="B145" s="245"/>
      <c r="C145" s="245"/>
      <c r="D145" s="248"/>
      <c r="E145" s="248"/>
      <c r="F145" s="248"/>
      <c r="G145" s="248"/>
      <c r="H145" s="248"/>
      <c r="I145" s="245"/>
      <c r="J145" s="245"/>
      <c r="K145" s="245"/>
      <c r="L145" s="245"/>
      <c r="M145" s="245"/>
      <c r="N145" s="245"/>
      <c r="O145" s="245"/>
      <c r="P145" s="245"/>
      <c r="Q145" s="245"/>
    </row>
    <row r="146">
      <c r="A146" s="245"/>
      <c r="B146" s="245"/>
      <c r="C146" s="245"/>
      <c r="D146" s="248"/>
      <c r="E146" s="248"/>
      <c r="F146" s="248"/>
      <c r="G146" s="248"/>
      <c r="H146" s="248"/>
      <c r="I146" s="245"/>
      <c r="J146" s="245"/>
      <c r="K146" s="245"/>
      <c r="L146" s="245"/>
      <c r="M146" s="245"/>
      <c r="N146" s="245"/>
      <c r="O146" s="245"/>
      <c r="P146" s="245"/>
      <c r="Q146" s="245"/>
    </row>
    <row r="147">
      <c r="A147" s="245"/>
      <c r="B147" s="245"/>
      <c r="C147" s="245"/>
      <c r="D147" s="248"/>
      <c r="E147" s="248"/>
      <c r="F147" s="248"/>
      <c r="G147" s="248"/>
      <c r="H147" s="248"/>
      <c r="I147" s="245"/>
      <c r="J147" s="245"/>
      <c r="K147" s="245"/>
      <c r="L147" s="245"/>
      <c r="M147" s="245"/>
      <c r="N147" s="245"/>
      <c r="O147" s="245"/>
      <c r="P147" s="245"/>
      <c r="Q147" s="245"/>
    </row>
    <row r="148">
      <c r="A148" s="245"/>
      <c r="B148" s="245"/>
      <c r="C148" s="245"/>
      <c r="D148" s="248"/>
      <c r="E148" s="248"/>
      <c r="F148" s="248"/>
      <c r="G148" s="248"/>
      <c r="H148" s="248"/>
      <c r="I148" s="245"/>
      <c r="J148" s="245"/>
      <c r="K148" s="245"/>
      <c r="L148" s="245"/>
      <c r="M148" s="245"/>
      <c r="N148" s="245"/>
      <c r="O148" s="245"/>
      <c r="P148" s="245"/>
      <c r="Q148" s="245"/>
    </row>
    <row r="149">
      <c r="A149" s="245"/>
      <c r="B149" s="245"/>
      <c r="C149" s="245"/>
      <c r="D149" s="248"/>
      <c r="E149" s="248"/>
      <c r="F149" s="248"/>
      <c r="G149" s="248"/>
      <c r="H149" s="248"/>
      <c r="I149" s="245"/>
      <c r="J149" s="245"/>
      <c r="K149" s="245"/>
      <c r="L149" s="245"/>
      <c r="M149" s="245"/>
      <c r="N149" s="245"/>
      <c r="O149" s="245"/>
      <c r="P149" s="245"/>
      <c r="Q149" s="245"/>
    </row>
    <row r="150">
      <c r="A150" s="245"/>
      <c r="B150" s="245"/>
      <c r="C150" s="245"/>
      <c r="D150" s="248"/>
      <c r="E150" s="248"/>
      <c r="F150" s="248"/>
      <c r="G150" s="248"/>
      <c r="H150" s="248"/>
      <c r="I150" s="245"/>
      <c r="J150" s="245"/>
      <c r="K150" s="245"/>
      <c r="L150" s="245"/>
      <c r="M150" s="245"/>
      <c r="N150" s="245"/>
      <c r="O150" s="245"/>
      <c r="P150" s="245"/>
      <c r="Q150" s="245"/>
    </row>
    <row r="151">
      <c r="A151" s="245"/>
      <c r="B151" s="245"/>
      <c r="C151" s="245"/>
      <c r="D151" s="248"/>
      <c r="E151" s="248"/>
      <c r="F151" s="248"/>
      <c r="G151" s="248"/>
      <c r="H151" s="248"/>
      <c r="I151" s="245"/>
      <c r="J151" s="245"/>
      <c r="K151" s="245"/>
      <c r="L151" s="245"/>
      <c r="M151" s="245"/>
      <c r="N151" s="245"/>
      <c r="O151" s="245"/>
      <c r="P151" s="245"/>
      <c r="Q151" s="245"/>
    </row>
    <row r="152">
      <c r="A152" s="245"/>
      <c r="B152" s="245"/>
      <c r="C152" s="245"/>
      <c r="D152" s="248"/>
      <c r="E152" s="248"/>
      <c r="F152" s="248"/>
      <c r="G152" s="248"/>
      <c r="H152" s="248"/>
      <c r="I152" s="245"/>
      <c r="J152" s="245"/>
      <c r="K152" s="245"/>
      <c r="L152" s="245"/>
      <c r="M152" s="245"/>
      <c r="N152" s="245"/>
      <c r="O152" s="245"/>
      <c r="P152" s="245"/>
      <c r="Q152" s="245"/>
    </row>
    <row r="153">
      <c r="A153" s="245"/>
      <c r="B153" s="245"/>
      <c r="C153" s="245"/>
      <c r="D153" s="248"/>
      <c r="E153" s="248"/>
      <c r="F153" s="248"/>
      <c r="G153" s="248"/>
      <c r="H153" s="248"/>
      <c r="I153" s="245"/>
      <c r="J153" s="245"/>
      <c r="K153" s="245"/>
      <c r="L153" s="245"/>
      <c r="M153" s="245"/>
      <c r="N153" s="245"/>
      <c r="O153" s="245"/>
      <c r="P153" s="245"/>
      <c r="Q153" s="245"/>
    </row>
    <row r="154">
      <c r="A154" s="245"/>
      <c r="B154" s="245"/>
      <c r="C154" s="245"/>
      <c r="D154" s="248"/>
      <c r="E154" s="248"/>
      <c r="F154" s="248"/>
      <c r="G154" s="248"/>
      <c r="H154" s="248"/>
      <c r="I154" s="245"/>
      <c r="J154" s="245"/>
      <c r="K154" s="245"/>
      <c r="L154" s="245"/>
      <c r="M154" s="245"/>
      <c r="N154" s="245"/>
      <c r="O154" s="245"/>
      <c r="P154" s="245"/>
      <c r="Q154" s="245"/>
    </row>
    <row r="155">
      <c r="A155" s="245"/>
      <c r="B155" s="245"/>
      <c r="C155" s="245"/>
      <c r="D155" s="248"/>
      <c r="E155" s="248"/>
      <c r="F155" s="248"/>
      <c r="G155" s="248"/>
      <c r="H155" s="248"/>
      <c r="I155" s="245"/>
      <c r="J155" s="245"/>
      <c r="K155" s="245"/>
      <c r="L155" s="245"/>
      <c r="M155" s="245"/>
      <c r="N155" s="245"/>
      <c r="O155" s="245"/>
      <c r="P155" s="245"/>
      <c r="Q155" s="245"/>
    </row>
    <row r="156">
      <c r="A156" s="245"/>
      <c r="B156" s="245"/>
      <c r="C156" s="245"/>
      <c r="D156" s="248"/>
      <c r="E156" s="248"/>
      <c r="F156" s="248"/>
      <c r="G156" s="248"/>
      <c r="H156" s="248"/>
      <c r="I156" s="245"/>
      <c r="J156" s="245"/>
      <c r="K156" s="245"/>
      <c r="L156" s="245"/>
      <c r="M156" s="245"/>
      <c r="N156" s="245"/>
      <c r="O156" s="245"/>
      <c r="P156" s="245"/>
      <c r="Q156" s="245"/>
    </row>
    <row r="157">
      <c r="A157" s="245"/>
      <c r="B157" s="245"/>
      <c r="C157" s="245"/>
      <c r="D157" s="248"/>
      <c r="E157" s="248"/>
      <c r="F157" s="248"/>
      <c r="G157" s="248"/>
      <c r="H157" s="248"/>
      <c r="I157" s="245"/>
      <c r="J157" s="245"/>
      <c r="K157" s="245"/>
      <c r="L157" s="245"/>
      <c r="M157" s="245"/>
      <c r="N157" s="245"/>
      <c r="O157" s="245"/>
      <c r="P157" s="245"/>
      <c r="Q157" s="245"/>
    </row>
    <row r="158">
      <c r="A158" s="245"/>
      <c r="B158" s="245"/>
      <c r="C158" s="245"/>
      <c r="D158" s="248"/>
      <c r="E158" s="248"/>
      <c r="F158" s="248"/>
      <c r="G158" s="248"/>
      <c r="H158" s="248"/>
      <c r="I158" s="245"/>
      <c r="J158" s="245"/>
      <c r="K158" s="245"/>
      <c r="L158" s="245"/>
      <c r="M158" s="245"/>
      <c r="N158" s="245"/>
      <c r="O158" s="245"/>
      <c r="P158" s="245"/>
      <c r="Q158" s="245"/>
    </row>
    <row r="159">
      <c r="A159" s="245"/>
      <c r="B159" s="245"/>
      <c r="C159" s="245"/>
      <c r="D159" s="248"/>
      <c r="E159" s="248"/>
      <c r="F159" s="248"/>
      <c r="G159" s="248"/>
      <c r="H159" s="248"/>
      <c r="I159" s="245"/>
      <c r="J159" s="245"/>
      <c r="K159" s="245"/>
      <c r="L159" s="245"/>
      <c r="M159" s="245"/>
      <c r="N159" s="245"/>
      <c r="O159" s="245"/>
      <c r="P159" s="245"/>
      <c r="Q159" s="245"/>
    </row>
    <row r="160">
      <c r="A160" s="245"/>
      <c r="B160" s="245"/>
      <c r="C160" s="245"/>
      <c r="D160" s="248"/>
      <c r="E160" s="248"/>
      <c r="F160" s="248"/>
      <c r="G160" s="248"/>
      <c r="H160" s="248"/>
      <c r="I160" s="245"/>
      <c r="J160" s="245"/>
      <c r="K160" s="245"/>
      <c r="L160" s="245"/>
      <c r="M160" s="245"/>
      <c r="N160" s="245"/>
      <c r="O160" s="245"/>
      <c r="P160" s="245"/>
      <c r="Q160" s="245"/>
    </row>
    <row r="161">
      <c r="A161" s="245"/>
      <c r="B161" s="245"/>
      <c r="C161" s="245"/>
      <c r="D161" s="248"/>
      <c r="E161" s="248"/>
      <c r="F161" s="248"/>
      <c r="G161" s="248"/>
      <c r="H161" s="248"/>
      <c r="I161" s="245"/>
      <c r="J161" s="245"/>
      <c r="K161" s="245"/>
      <c r="L161" s="245"/>
      <c r="M161" s="245"/>
      <c r="N161" s="245"/>
      <c r="O161" s="245"/>
      <c r="P161" s="245"/>
      <c r="Q161" s="245"/>
    </row>
    <row r="162">
      <c r="A162" s="245"/>
      <c r="B162" s="245"/>
      <c r="C162" s="245"/>
      <c r="D162" s="248"/>
      <c r="E162" s="248"/>
      <c r="F162" s="248"/>
      <c r="G162" s="248"/>
      <c r="H162" s="248"/>
      <c r="I162" s="245"/>
      <c r="J162" s="245"/>
      <c r="K162" s="245"/>
      <c r="L162" s="245"/>
      <c r="M162" s="245"/>
      <c r="N162" s="245"/>
      <c r="O162" s="245"/>
      <c r="P162" s="245"/>
      <c r="Q162" s="245"/>
    </row>
    <row r="163">
      <c r="A163" s="245"/>
      <c r="B163" s="245"/>
      <c r="C163" s="245"/>
      <c r="D163" s="248"/>
      <c r="E163" s="248"/>
      <c r="F163" s="248"/>
      <c r="G163" s="248"/>
      <c r="H163" s="248"/>
      <c r="I163" s="245"/>
      <c r="J163" s="245"/>
      <c r="K163" s="245"/>
      <c r="L163" s="245"/>
      <c r="M163" s="245"/>
      <c r="N163" s="245"/>
      <c r="O163" s="245"/>
      <c r="P163" s="245"/>
      <c r="Q163" s="245"/>
    </row>
    <row r="164">
      <c r="A164" s="245"/>
      <c r="B164" s="245"/>
      <c r="C164" s="245"/>
      <c r="D164" s="248"/>
      <c r="E164" s="248"/>
      <c r="F164" s="248"/>
      <c r="G164" s="248"/>
      <c r="H164" s="248"/>
      <c r="I164" s="245"/>
      <c r="J164" s="245"/>
      <c r="K164" s="245"/>
      <c r="L164" s="245"/>
      <c r="M164" s="245"/>
      <c r="N164" s="245"/>
      <c r="O164" s="245"/>
      <c r="P164" s="245"/>
      <c r="Q164" s="245"/>
    </row>
    <row r="165">
      <c r="A165" s="245"/>
      <c r="B165" s="245"/>
      <c r="C165" s="245"/>
      <c r="D165" s="248"/>
      <c r="E165" s="248"/>
      <c r="F165" s="248"/>
      <c r="G165" s="248"/>
      <c r="H165" s="248"/>
      <c r="I165" s="245"/>
      <c r="J165" s="245"/>
      <c r="K165" s="245"/>
      <c r="L165" s="245"/>
      <c r="M165" s="245"/>
      <c r="N165" s="245"/>
      <c r="O165" s="245"/>
      <c r="P165" s="245"/>
      <c r="Q165" s="245"/>
    </row>
    <row r="166">
      <c r="A166" s="245"/>
      <c r="B166" s="245"/>
      <c r="C166" s="245"/>
      <c r="D166" s="248"/>
      <c r="E166" s="248"/>
      <c r="F166" s="248"/>
      <c r="G166" s="248"/>
      <c r="H166" s="248"/>
      <c r="I166" s="245"/>
      <c r="J166" s="245"/>
      <c r="K166" s="245"/>
      <c r="L166" s="245"/>
      <c r="M166" s="245"/>
      <c r="N166" s="245"/>
      <c r="O166" s="245"/>
      <c r="P166" s="245"/>
      <c r="Q166" s="245"/>
    </row>
    <row r="167">
      <c r="A167" s="245"/>
      <c r="B167" s="245"/>
      <c r="C167" s="245"/>
      <c r="D167" s="248"/>
      <c r="E167" s="248"/>
      <c r="F167" s="248"/>
      <c r="G167" s="248"/>
      <c r="H167" s="248"/>
      <c r="I167" s="245"/>
      <c r="J167" s="245"/>
      <c r="K167" s="245"/>
      <c r="L167" s="245"/>
      <c r="M167" s="245"/>
      <c r="N167" s="245"/>
      <c r="O167" s="245"/>
      <c r="P167" s="245"/>
      <c r="Q167" s="245"/>
    </row>
    <row r="168">
      <c r="A168" s="245"/>
      <c r="B168" s="245"/>
      <c r="C168" s="245"/>
      <c r="D168" s="248"/>
      <c r="E168" s="248"/>
      <c r="F168" s="248"/>
      <c r="G168" s="248"/>
      <c r="H168" s="248"/>
      <c r="I168" s="245"/>
      <c r="J168" s="245"/>
      <c r="K168" s="245"/>
      <c r="L168" s="245"/>
      <c r="M168" s="245"/>
      <c r="N168" s="245"/>
      <c r="O168" s="245"/>
      <c r="P168" s="245"/>
      <c r="Q168" s="245"/>
    </row>
    <row r="169">
      <c r="A169" s="245"/>
      <c r="B169" s="245"/>
      <c r="C169" s="245"/>
      <c r="D169" s="248"/>
      <c r="E169" s="248"/>
      <c r="F169" s="248"/>
      <c r="G169" s="248"/>
      <c r="H169" s="248"/>
      <c r="I169" s="245"/>
      <c r="J169" s="245"/>
      <c r="K169" s="245"/>
      <c r="L169" s="245"/>
      <c r="M169" s="245"/>
      <c r="N169" s="245"/>
      <c r="O169" s="245"/>
      <c r="P169" s="245"/>
      <c r="Q169" s="245"/>
    </row>
    <row r="170">
      <c r="A170" s="245"/>
      <c r="B170" s="245"/>
      <c r="C170" s="245"/>
      <c r="D170" s="248"/>
      <c r="E170" s="248"/>
      <c r="F170" s="248"/>
      <c r="G170" s="248"/>
      <c r="H170" s="248"/>
      <c r="I170" s="245"/>
      <c r="J170" s="245"/>
      <c r="K170" s="245"/>
      <c r="L170" s="245"/>
      <c r="M170" s="245"/>
      <c r="N170" s="245"/>
      <c r="O170" s="245"/>
      <c r="P170" s="245"/>
      <c r="Q170" s="245"/>
    </row>
    <row r="171">
      <c r="A171" s="245"/>
      <c r="B171" s="245"/>
      <c r="C171" s="245"/>
      <c r="D171" s="248"/>
      <c r="E171" s="248"/>
      <c r="F171" s="248"/>
      <c r="G171" s="248"/>
      <c r="H171" s="248"/>
      <c r="I171" s="245"/>
      <c r="J171" s="245"/>
      <c r="K171" s="245"/>
      <c r="L171" s="245"/>
      <c r="M171" s="245"/>
      <c r="N171" s="245"/>
      <c r="O171" s="245"/>
      <c r="P171" s="245"/>
      <c r="Q171" s="245"/>
    </row>
    <row r="172">
      <c r="A172" s="245"/>
      <c r="B172" s="245"/>
      <c r="C172" s="245"/>
      <c r="D172" s="248"/>
      <c r="E172" s="248"/>
      <c r="F172" s="248"/>
      <c r="G172" s="248"/>
      <c r="H172" s="248"/>
      <c r="I172" s="245"/>
      <c r="J172" s="245"/>
      <c r="K172" s="245"/>
      <c r="L172" s="245"/>
      <c r="M172" s="245"/>
      <c r="N172" s="245"/>
      <c r="O172" s="245"/>
      <c r="P172" s="245"/>
      <c r="Q172" s="245"/>
    </row>
    <row r="173">
      <c r="A173" s="245"/>
      <c r="B173" s="245"/>
      <c r="C173" s="245"/>
      <c r="D173" s="248"/>
      <c r="E173" s="248"/>
      <c r="F173" s="248"/>
      <c r="G173" s="248"/>
      <c r="H173" s="248"/>
      <c r="I173" s="245"/>
      <c r="J173" s="245"/>
      <c r="K173" s="245"/>
      <c r="L173" s="245"/>
      <c r="M173" s="245"/>
      <c r="N173" s="245"/>
      <c r="O173" s="245"/>
      <c r="P173" s="245"/>
      <c r="Q173" s="245"/>
    </row>
    <row r="174">
      <c r="A174" s="245"/>
      <c r="B174" s="245"/>
      <c r="C174" s="245"/>
      <c r="D174" s="248"/>
      <c r="E174" s="248"/>
      <c r="F174" s="248"/>
      <c r="G174" s="248"/>
      <c r="H174" s="248"/>
      <c r="I174" s="245"/>
      <c r="J174" s="245"/>
      <c r="K174" s="245"/>
      <c r="L174" s="245"/>
      <c r="M174" s="245"/>
      <c r="N174" s="245"/>
      <c r="O174" s="245"/>
      <c r="P174" s="245"/>
      <c r="Q174" s="245"/>
    </row>
    <row r="175">
      <c r="A175" s="245"/>
      <c r="B175" s="245"/>
      <c r="C175" s="245"/>
      <c r="D175" s="248"/>
      <c r="E175" s="248"/>
      <c r="F175" s="248"/>
      <c r="G175" s="248"/>
      <c r="H175" s="248"/>
      <c r="I175" s="245"/>
      <c r="J175" s="245"/>
      <c r="K175" s="245"/>
      <c r="L175" s="245"/>
      <c r="M175" s="245"/>
      <c r="N175" s="245"/>
      <c r="O175" s="245"/>
      <c r="P175" s="245"/>
      <c r="Q175" s="245"/>
    </row>
    <row r="176">
      <c r="A176" s="245"/>
      <c r="B176" s="245"/>
      <c r="C176" s="245"/>
      <c r="D176" s="248"/>
      <c r="E176" s="248"/>
      <c r="F176" s="248"/>
      <c r="G176" s="248"/>
      <c r="H176" s="248"/>
      <c r="I176" s="245"/>
      <c r="J176" s="245"/>
      <c r="K176" s="245"/>
      <c r="L176" s="245"/>
      <c r="M176" s="245"/>
      <c r="N176" s="245"/>
      <c r="O176" s="245"/>
      <c r="P176" s="245"/>
      <c r="Q176" s="245"/>
    </row>
    <row r="177">
      <c r="A177" s="245"/>
      <c r="B177" s="245"/>
      <c r="C177" s="245"/>
      <c r="D177" s="248"/>
      <c r="E177" s="248"/>
      <c r="F177" s="248"/>
      <c r="G177" s="248"/>
      <c r="H177" s="248"/>
      <c r="I177" s="245"/>
      <c r="J177" s="245"/>
      <c r="K177" s="245"/>
      <c r="L177" s="245"/>
      <c r="M177" s="245"/>
      <c r="N177" s="245"/>
      <c r="O177" s="245"/>
      <c r="P177" s="245"/>
      <c r="Q177" s="245"/>
    </row>
    <row r="178">
      <c r="A178" s="245"/>
      <c r="B178" s="245"/>
      <c r="C178" s="245"/>
      <c r="D178" s="248"/>
      <c r="E178" s="248"/>
      <c r="F178" s="248"/>
      <c r="G178" s="248"/>
      <c r="H178" s="248"/>
      <c r="I178" s="245"/>
      <c r="J178" s="245"/>
      <c r="K178" s="245"/>
      <c r="L178" s="245"/>
      <c r="M178" s="245"/>
      <c r="N178" s="245"/>
      <c r="O178" s="245"/>
      <c r="P178" s="245"/>
      <c r="Q178" s="245"/>
    </row>
    <row r="179">
      <c r="A179" s="245"/>
      <c r="B179" s="245"/>
      <c r="C179" s="245"/>
      <c r="D179" s="248"/>
      <c r="E179" s="248"/>
      <c r="F179" s="248"/>
      <c r="G179" s="248"/>
      <c r="H179" s="248"/>
      <c r="I179" s="245"/>
      <c r="J179" s="245"/>
      <c r="K179" s="245"/>
      <c r="L179" s="245"/>
      <c r="M179" s="245"/>
      <c r="N179" s="245"/>
      <c r="O179" s="245"/>
      <c r="P179" s="245"/>
      <c r="Q179" s="245"/>
    </row>
    <row r="180">
      <c r="A180" s="245"/>
      <c r="B180" s="245"/>
      <c r="C180" s="245"/>
      <c r="D180" s="248"/>
      <c r="E180" s="248"/>
      <c r="F180" s="248"/>
      <c r="G180" s="248"/>
      <c r="H180" s="248"/>
      <c r="I180" s="245"/>
      <c r="J180" s="245"/>
      <c r="K180" s="245"/>
      <c r="L180" s="245"/>
      <c r="M180" s="245"/>
      <c r="N180" s="245"/>
      <c r="O180" s="245"/>
      <c r="P180" s="245"/>
      <c r="Q180" s="245"/>
    </row>
    <row r="181">
      <c r="A181" s="245"/>
      <c r="B181" s="245"/>
      <c r="C181" s="245"/>
      <c r="D181" s="248"/>
      <c r="E181" s="248"/>
      <c r="F181" s="248"/>
      <c r="G181" s="248"/>
      <c r="H181" s="248"/>
      <c r="I181" s="245"/>
      <c r="J181" s="245"/>
      <c r="K181" s="245"/>
      <c r="L181" s="245"/>
      <c r="M181" s="245"/>
      <c r="N181" s="245"/>
      <c r="O181" s="245"/>
      <c r="P181" s="245"/>
      <c r="Q181" s="245"/>
    </row>
    <row r="182">
      <c r="A182" s="245"/>
      <c r="B182" s="245"/>
      <c r="C182" s="245"/>
      <c r="D182" s="248"/>
      <c r="E182" s="248"/>
      <c r="F182" s="248"/>
      <c r="G182" s="248"/>
      <c r="H182" s="248"/>
      <c r="I182" s="245"/>
      <c r="J182" s="245"/>
      <c r="K182" s="245"/>
      <c r="L182" s="245"/>
      <c r="M182" s="245"/>
      <c r="N182" s="245"/>
      <c r="O182" s="245"/>
      <c r="P182" s="245"/>
      <c r="Q182" s="245"/>
    </row>
    <row r="183">
      <c r="A183" s="245"/>
      <c r="B183" s="245"/>
      <c r="C183" s="245"/>
      <c r="D183" s="248"/>
      <c r="E183" s="248"/>
      <c r="F183" s="248"/>
      <c r="G183" s="248"/>
      <c r="H183" s="248"/>
      <c r="I183" s="245"/>
      <c r="J183" s="245"/>
      <c r="K183" s="245"/>
      <c r="L183" s="245"/>
      <c r="M183" s="245"/>
      <c r="N183" s="245"/>
      <c r="O183" s="245"/>
      <c r="P183" s="245"/>
      <c r="Q183" s="245"/>
    </row>
    <row r="184">
      <c r="A184" s="245"/>
      <c r="B184" s="245"/>
      <c r="C184" s="245"/>
      <c r="D184" s="248"/>
      <c r="E184" s="248"/>
      <c r="F184" s="248"/>
      <c r="G184" s="248"/>
      <c r="H184" s="248"/>
      <c r="I184" s="245"/>
      <c r="J184" s="245"/>
      <c r="K184" s="245"/>
      <c r="L184" s="245"/>
      <c r="M184" s="245"/>
      <c r="N184" s="245"/>
      <c r="O184" s="245"/>
      <c r="P184" s="245"/>
      <c r="Q184" s="245"/>
    </row>
    <row r="185">
      <c r="A185" s="245"/>
      <c r="B185" s="245"/>
      <c r="C185" s="245"/>
      <c r="D185" s="248"/>
      <c r="E185" s="248"/>
      <c r="F185" s="248"/>
      <c r="G185" s="248"/>
      <c r="H185" s="248"/>
      <c r="I185" s="245"/>
      <c r="J185" s="245"/>
      <c r="K185" s="245"/>
      <c r="L185" s="245"/>
      <c r="M185" s="245"/>
      <c r="N185" s="245"/>
      <c r="O185" s="245"/>
      <c r="P185" s="245"/>
      <c r="Q185" s="245"/>
    </row>
    <row r="186">
      <c r="A186" s="245"/>
      <c r="B186" s="245"/>
      <c r="C186" s="245"/>
      <c r="D186" s="248"/>
      <c r="E186" s="248"/>
      <c r="F186" s="248"/>
      <c r="G186" s="248"/>
      <c r="H186" s="248"/>
      <c r="I186" s="245"/>
      <c r="J186" s="245"/>
      <c r="K186" s="245"/>
      <c r="L186" s="245"/>
      <c r="M186" s="245"/>
      <c r="N186" s="245"/>
      <c r="O186" s="245"/>
      <c r="P186" s="245"/>
      <c r="Q186" s="245"/>
    </row>
    <row r="187">
      <c r="A187" s="245"/>
      <c r="B187" s="245"/>
      <c r="C187" s="245"/>
      <c r="D187" s="248"/>
      <c r="E187" s="248"/>
      <c r="F187" s="248"/>
      <c r="G187" s="248"/>
      <c r="H187" s="248"/>
      <c r="I187" s="245"/>
      <c r="J187" s="245"/>
      <c r="K187" s="245"/>
      <c r="L187" s="245"/>
      <c r="M187" s="245"/>
      <c r="N187" s="245"/>
      <c r="O187" s="245"/>
      <c r="P187" s="245"/>
      <c r="Q187" s="245"/>
    </row>
    <row r="188">
      <c r="A188" s="245"/>
      <c r="B188" s="245"/>
      <c r="C188" s="245"/>
      <c r="D188" s="248"/>
      <c r="E188" s="248"/>
      <c r="F188" s="248"/>
      <c r="G188" s="248"/>
      <c r="H188" s="248"/>
      <c r="I188" s="245"/>
      <c r="J188" s="245"/>
      <c r="K188" s="245"/>
      <c r="L188" s="245"/>
      <c r="M188" s="245"/>
      <c r="N188" s="245"/>
      <c r="O188" s="245"/>
      <c r="P188" s="245"/>
      <c r="Q188" s="245"/>
    </row>
    <row r="189">
      <c r="A189" s="245"/>
      <c r="B189" s="245"/>
      <c r="C189" s="245"/>
      <c r="D189" s="248"/>
      <c r="E189" s="248"/>
      <c r="F189" s="248"/>
      <c r="G189" s="248"/>
      <c r="H189" s="248"/>
      <c r="I189" s="245"/>
      <c r="J189" s="245"/>
      <c r="K189" s="245"/>
      <c r="L189" s="245"/>
      <c r="M189" s="245"/>
      <c r="N189" s="245"/>
      <c r="O189" s="245"/>
      <c r="P189" s="245"/>
      <c r="Q189" s="245"/>
    </row>
    <row r="190">
      <c r="A190" s="245"/>
      <c r="B190" s="245"/>
      <c r="C190" s="245"/>
      <c r="D190" s="248"/>
      <c r="E190" s="248"/>
      <c r="F190" s="248"/>
      <c r="G190" s="248"/>
      <c r="H190" s="248"/>
      <c r="I190" s="245"/>
      <c r="J190" s="245"/>
      <c r="K190" s="245"/>
      <c r="L190" s="245"/>
      <c r="M190" s="245"/>
      <c r="N190" s="245"/>
      <c r="O190" s="245"/>
      <c r="P190" s="245"/>
      <c r="Q190" s="245"/>
    </row>
    <row r="191">
      <c r="A191" s="245"/>
      <c r="B191" s="245"/>
      <c r="C191" s="245"/>
      <c r="D191" s="248"/>
      <c r="E191" s="248"/>
      <c r="F191" s="248"/>
      <c r="G191" s="248"/>
      <c r="H191" s="248"/>
      <c r="I191" s="245"/>
      <c r="J191" s="245"/>
      <c r="K191" s="245"/>
      <c r="L191" s="245"/>
      <c r="M191" s="245"/>
      <c r="N191" s="245"/>
      <c r="O191" s="245"/>
      <c r="P191" s="245"/>
      <c r="Q191" s="245"/>
    </row>
    <row r="192">
      <c r="A192" s="245"/>
      <c r="B192" s="245"/>
      <c r="C192" s="245"/>
      <c r="D192" s="248"/>
      <c r="E192" s="248"/>
      <c r="F192" s="248"/>
      <c r="G192" s="248"/>
      <c r="H192" s="248"/>
      <c r="I192" s="245"/>
      <c r="J192" s="245"/>
      <c r="K192" s="245"/>
      <c r="L192" s="245"/>
      <c r="M192" s="245"/>
      <c r="N192" s="245"/>
      <c r="O192" s="245"/>
      <c r="P192" s="245"/>
      <c r="Q192" s="245"/>
    </row>
    <row r="193">
      <c r="A193" s="245"/>
      <c r="B193" s="245"/>
      <c r="C193" s="245"/>
      <c r="D193" s="248"/>
      <c r="E193" s="248"/>
      <c r="F193" s="248"/>
      <c r="G193" s="248"/>
      <c r="H193" s="248"/>
      <c r="I193" s="245"/>
      <c r="J193" s="245"/>
      <c r="K193" s="245"/>
      <c r="L193" s="245"/>
      <c r="M193" s="245"/>
      <c r="N193" s="245"/>
      <c r="O193" s="245"/>
      <c r="P193" s="245"/>
      <c r="Q193" s="245"/>
    </row>
    <row r="194">
      <c r="A194" s="245"/>
      <c r="B194" s="245"/>
      <c r="C194" s="245"/>
      <c r="D194" s="248"/>
      <c r="E194" s="248"/>
      <c r="F194" s="248"/>
      <c r="G194" s="248"/>
      <c r="H194" s="248"/>
      <c r="I194" s="245"/>
      <c r="J194" s="245"/>
      <c r="K194" s="245"/>
      <c r="L194" s="245"/>
      <c r="M194" s="245"/>
      <c r="N194" s="245"/>
      <c r="O194" s="245"/>
      <c r="P194" s="245"/>
      <c r="Q194" s="245"/>
    </row>
    <row r="195">
      <c r="A195" s="245"/>
      <c r="B195" s="245"/>
      <c r="C195" s="245"/>
      <c r="D195" s="248"/>
      <c r="E195" s="248"/>
      <c r="F195" s="248"/>
      <c r="G195" s="248"/>
      <c r="H195" s="248"/>
      <c r="I195" s="245"/>
      <c r="J195" s="245"/>
      <c r="K195" s="245"/>
      <c r="L195" s="245"/>
      <c r="M195" s="245"/>
      <c r="N195" s="245"/>
      <c r="O195" s="245"/>
      <c r="P195" s="245"/>
      <c r="Q195" s="245"/>
    </row>
    <row r="196">
      <c r="A196" s="245"/>
      <c r="B196" s="245"/>
      <c r="C196" s="245"/>
      <c r="D196" s="248"/>
      <c r="E196" s="248"/>
      <c r="F196" s="248"/>
      <c r="G196" s="248"/>
      <c r="H196" s="248"/>
      <c r="I196" s="245"/>
      <c r="J196" s="245"/>
      <c r="K196" s="245"/>
      <c r="L196" s="245"/>
      <c r="M196" s="245"/>
      <c r="N196" s="245"/>
      <c r="O196" s="245"/>
      <c r="P196" s="245"/>
      <c r="Q196" s="245"/>
    </row>
    <row r="197">
      <c r="A197" s="245"/>
      <c r="B197" s="245"/>
      <c r="C197" s="245"/>
      <c r="D197" s="248"/>
      <c r="E197" s="248"/>
      <c r="F197" s="248"/>
      <c r="G197" s="248"/>
      <c r="H197" s="248"/>
      <c r="I197" s="245"/>
      <c r="J197" s="245"/>
      <c r="K197" s="245"/>
      <c r="L197" s="245"/>
      <c r="M197" s="245"/>
      <c r="N197" s="245"/>
      <c r="O197" s="245"/>
      <c r="P197" s="245"/>
      <c r="Q197" s="245"/>
    </row>
    <row r="198">
      <c r="A198" s="245"/>
      <c r="B198" s="245"/>
      <c r="C198" s="245"/>
      <c r="D198" s="248"/>
      <c r="E198" s="248"/>
      <c r="F198" s="248"/>
      <c r="G198" s="248"/>
      <c r="H198" s="248"/>
      <c r="I198" s="245"/>
      <c r="J198" s="245"/>
      <c r="K198" s="245"/>
      <c r="L198" s="245"/>
      <c r="M198" s="245"/>
      <c r="N198" s="245"/>
      <c r="O198" s="245"/>
      <c r="P198" s="245"/>
      <c r="Q198" s="245"/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2"/>
    <col collapsed="false" customWidth="true" hidden="false" max="3" min="3" style="0" width="22"/>
  </cols>
  <sheetData>
    <row r="1">
      <c r="A1" s="259" t="s">
        <v>190</v>
      </c>
      <c r="B1" s="260" t="s">
        <v>191</v>
      </c>
      <c r="C1" s="261" t="s">
        <v>192</v>
      </c>
      <c r="D1" s="262" t="s">
        <v>193</v>
      </c>
      <c r="E1" s="263" t="s">
        <v>194</v>
      </c>
      <c r="F1" s="264" t="s">
        <v>195</v>
      </c>
      <c r="G1" s="265" t="s">
        <v>196</v>
      </c>
      <c r="H1" s="266" t="s">
        <v>197</v>
      </c>
      <c r="I1" s="267"/>
      <c r="J1" s="267"/>
      <c r="K1" s="267"/>
      <c r="L1" s="267"/>
      <c r="M1" s="267"/>
      <c r="N1" s="267"/>
      <c r="O1" s="267"/>
      <c r="P1" s="267"/>
      <c r="Q1" s="267"/>
    </row>
    <row r="2">
      <c r="A2" s="268">
        <v>250000</v>
      </c>
      <c r="B2" s="269">
        <v>4531</v>
      </c>
      <c r="C2" s="270">
        <v>2870</v>
      </c>
      <c r="D2" s="271">
        <f t="shared" ref="D2:D90" si="8">C2/B2</f>
      </c>
      <c r="E2" s="272">
        <v>1658</v>
      </c>
      <c r="F2" s="273">
        <f t="shared" ref="F2:F39" si="0">E2/B2</f>
      </c>
      <c r="G2" s="274">
        <v>3</v>
      </c>
      <c r="H2" s="275">
        <f t="shared" ref="H2:H39" si="4">G2/B2</f>
      </c>
      <c r="I2" s="267"/>
      <c r="J2" s="276"/>
      <c r="K2" s="267"/>
      <c r="L2" s="267"/>
      <c r="M2" s="267"/>
      <c r="N2" s="267"/>
      <c r="O2" s="267"/>
      <c r="P2" s="267"/>
      <c r="Q2" s="267"/>
    </row>
    <row r="3">
      <c r="A3" s="268">
        <v>90001</v>
      </c>
      <c r="B3" s="269">
        <v>740</v>
      </c>
      <c r="C3" s="270">
        <v>538</v>
      </c>
      <c r="D3" s="271">
        <f t="shared" si="8"/>
      </c>
      <c r="E3" s="272">
        <v>201</v>
      </c>
      <c r="F3" s="273">
        <f t="shared" si="0"/>
      </c>
      <c r="G3" s="274">
        <v>1</v>
      </c>
      <c r="H3" s="275">
        <f t="shared" si="4"/>
      </c>
      <c r="I3" s="267"/>
      <c r="J3" s="277" t="s">
        <v>198</v>
      </c>
      <c r="K3" s="278" t="s">
        <v>199</v>
      </c>
      <c r="L3" s="279" t="s">
        <v>200</v>
      </c>
      <c r="M3" s="278" t="s">
        <v>201</v>
      </c>
      <c r="N3" s="279" t="s">
        <v>202</v>
      </c>
      <c r="O3" s="278" t="s">
        <v>203</v>
      </c>
      <c r="P3" s="279" t="s">
        <v>204</v>
      </c>
      <c r="Q3" s="278" t="s">
        <v>205</v>
      </c>
      <c r="R3" s="279" t="s">
        <v>206</v>
      </c>
      <c r="S3" s="278" t="s">
        <v>207</v>
      </c>
      <c r="T3" s="279" t="s">
        <v>208</v>
      </c>
      <c r="U3" s="278" t="s">
        <v>209</v>
      </c>
    </row>
    <row r="4">
      <c r="A4" s="268">
        <v>190004</v>
      </c>
      <c r="B4" s="269">
        <v>671</v>
      </c>
      <c r="C4" s="270">
        <v>543</v>
      </c>
      <c r="D4" s="271">
        <f t="shared" si="8"/>
      </c>
      <c r="E4" s="272">
        <v>128</v>
      </c>
      <c r="F4" s="273">
        <f t="shared" si="0"/>
      </c>
      <c r="G4" s="274"/>
      <c r="H4" s="275">
        <f t="shared" si="4"/>
      </c>
      <c r="I4" s="267"/>
      <c r="J4" s="280">
        <v>46143</v>
      </c>
      <c r="K4" s="281">
        <v>0.112</v>
      </c>
      <c r="L4" s="282">
        <v>0.1923</v>
      </c>
      <c r="M4" s="281">
        <v>0.3636</v>
      </c>
      <c r="N4" s="282">
        <v>0.1677</v>
      </c>
      <c r="O4" s="281">
        <v>0.1961</v>
      </c>
      <c r="P4" s="282">
        <v>0.1699</v>
      </c>
      <c r="Q4" s="281">
        <v>0.1696</v>
      </c>
      <c r="R4" s="282">
        <v>0.1553</v>
      </c>
      <c r="S4" s="281">
        <v>0.1686</v>
      </c>
      <c r="T4" s="283"/>
      <c r="U4" s="281">
        <v>0.4286</v>
      </c>
    </row>
    <row r="5">
      <c r="A5" s="268">
        <v>160008</v>
      </c>
      <c r="B5" s="269">
        <v>560</v>
      </c>
      <c r="C5" s="270">
        <v>427</v>
      </c>
      <c r="D5" s="271">
        <f t="shared" si="8"/>
      </c>
      <c r="E5" s="272">
        <v>133</v>
      </c>
      <c r="F5" s="273">
        <f t="shared" si="0"/>
      </c>
      <c r="G5" s="274"/>
      <c r="H5" s="275">
        <f t="shared" si="4"/>
      </c>
      <c r="I5" s="267"/>
      <c r="J5" s="280">
        <v>46144</v>
      </c>
      <c r="K5" s="281">
        <v>0.1474</v>
      </c>
      <c r="L5" s="282">
        <v>0.2151</v>
      </c>
      <c r="M5" s="281">
        <v>0.1333</v>
      </c>
      <c r="N5" s="282">
        <v>0.2</v>
      </c>
      <c r="O5" s="281">
        <v>0.1713</v>
      </c>
      <c r="P5" s="282">
        <v>0.159</v>
      </c>
      <c r="Q5" s="281">
        <v>0.2198</v>
      </c>
      <c r="R5" s="282">
        <v>0.1718</v>
      </c>
      <c r="S5" s="281">
        <v>0.1798</v>
      </c>
      <c r="T5" s="283"/>
      <c r="U5" s="281">
        <v>0.192</v>
      </c>
    </row>
    <row r="6">
      <c r="A6" s="268">
        <v>90005</v>
      </c>
      <c r="B6" s="269">
        <v>519</v>
      </c>
      <c r="C6" s="270">
        <v>373</v>
      </c>
      <c r="D6" s="271">
        <f t="shared" si="8"/>
      </c>
      <c r="E6" s="272">
        <v>146</v>
      </c>
      <c r="F6" s="273">
        <f t="shared" si="0"/>
      </c>
      <c r="G6" s="274"/>
      <c r="H6" s="275">
        <f t="shared" si="4"/>
      </c>
      <c r="I6" s="267"/>
      <c r="J6" s="280">
        <v>46145</v>
      </c>
      <c r="K6" s="281">
        <v>0.1614</v>
      </c>
      <c r="L6" s="282">
        <v>0.2069</v>
      </c>
      <c r="M6" s="281">
        <v>0.2</v>
      </c>
      <c r="N6" s="282">
        <v>0.1776</v>
      </c>
      <c r="O6" s="281">
        <v>0.1714</v>
      </c>
      <c r="P6" s="282">
        <v>0.1733</v>
      </c>
      <c r="Q6" s="281">
        <v>0.1937</v>
      </c>
      <c r="R6" s="282">
        <v>0.1421</v>
      </c>
      <c r="S6" s="281">
        <v>0.1651</v>
      </c>
      <c r="T6" s="282">
        <v>0.2222</v>
      </c>
      <c r="U6" s="281">
        <v>0.2381</v>
      </c>
    </row>
    <row r="7">
      <c r="A7" s="268">
        <v>90003</v>
      </c>
      <c r="B7" s="269">
        <v>487</v>
      </c>
      <c r="C7" s="270">
        <v>347</v>
      </c>
      <c r="D7" s="271">
        <f t="shared" si="8"/>
      </c>
      <c r="E7" s="272">
        <v>140</v>
      </c>
      <c r="F7" s="273">
        <f t="shared" si="0"/>
      </c>
      <c r="G7" s="274"/>
      <c r="H7" s="275">
        <f t="shared" si="4"/>
      </c>
      <c r="I7" s="267"/>
      <c r="J7" s="280">
        <v>46146</v>
      </c>
      <c r="K7" s="281">
        <v>0.1076</v>
      </c>
      <c r="L7" s="282">
        <v>0.2083</v>
      </c>
      <c r="M7" s="281">
        <v>0.2222</v>
      </c>
      <c r="N7" s="282">
        <v>0.192</v>
      </c>
      <c r="O7" s="281">
        <v>0.2145</v>
      </c>
      <c r="P7" s="282">
        <v>0.1633</v>
      </c>
      <c r="Q7" s="281">
        <v>0.1726</v>
      </c>
      <c r="R7" s="282">
        <v>0.1806</v>
      </c>
      <c r="S7" s="281">
        <v>0.1681</v>
      </c>
      <c r="T7" s="282">
        <v>0.0794</v>
      </c>
      <c r="U7" s="281">
        <v>0.2505</v>
      </c>
    </row>
    <row r="8">
      <c r="A8" s="268">
        <v>190002</v>
      </c>
      <c r="B8" s="269">
        <v>471</v>
      </c>
      <c r="C8" s="270">
        <v>384</v>
      </c>
      <c r="D8" s="271">
        <f t="shared" si="8"/>
      </c>
      <c r="E8" s="272">
        <v>86</v>
      </c>
      <c r="F8" s="273">
        <f t="shared" si="0"/>
      </c>
      <c r="G8" s="274">
        <v>1</v>
      </c>
      <c r="H8" s="275">
        <f t="shared" si="4"/>
      </c>
      <c r="I8" s="267"/>
      <c r="J8" s="280">
        <v>46147</v>
      </c>
      <c r="K8" s="281">
        <v>0.1937</v>
      </c>
      <c r="L8" s="282">
        <v>0.1263</v>
      </c>
      <c r="M8" s="281">
        <v>0.2727</v>
      </c>
      <c r="N8" s="282">
        <v>0.1643</v>
      </c>
      <c r="O8" s="281">
        <v>0.1858</v>
      </c>
      <c r="P8" s="282">
        <v>0.1662</v>
      </c>
      <c r="Q8" s="281">
        <v>0.1903</v>
      </c>
      <c r="R8" s="282">
        <v>0.1669</v>
      </c>
      <c r="S8" s="281">
        <v>0.1744</v>
      </c>
      <c r="T8" s="282">
        <v>0.0678</v>
      </c>
      <c r="U8" s="281">
        <v>0.2002</v>
      </c>
    </row>
    <row r="9">
      <c r="A9" s="268">
        <v>0</v>
      </c>
      <c r="B9" s="269">
        <v>328</v>
      </c>
      <c r="C9" s="270">
        <v>231</v>
      </c>
      <c r="D9" s="271">
        <f t="shared" si="8"/>
      </c>
      <c r="E9" s="272">
        <v>95</v>
      </c>
      <c r="F9" s="273">
        <f t="shared" si="0"/>
      </c>
      <c r="G9" s="274">
        <v>2</v>
      </c>
      <c r="H9" s="275">
        <f t="shared" si="4"/>
      </c>
      <c r="I9" s="267"/>
      <c r="J9" s="280">
        <v>46148</v>
      </c>
      <c r="K9" s="281">
        <v>0.1723</v>
      </c>
      <c r="L9" s="282">
        <v>0.2381</v>
      </c>
      <c r="M9" s="281">
        <v>0.1429</v>
      </c>
      <c r="N9" s="282">
        <v>0.2294</v>
      </c>
      <c r="O9" s="281">
        <v>0.2222</v>
      </c>
      <c r="P9" s="282">
        <v>0.1581</v>
      </c>
      <c r="Q9" s="281">
        <v>0.2382</v>
      </c>
      <c r="R9" s="282">
        <v>0.1962</v>
      </c>
      <c r="S9" s="281">
        <v>0.1724</v>
      </c>
      <c r="T9" s="282">
        <v>0.2222</v>
      </c>
      <c r="U9" s="281">
        <v>0.2143</v>
      </c>
    </row>
    <row r="10">
      <c r="A10" s="268">
        <v>280000</v>
      </c>
      <c r="B10" s="269">
        <v>320</v>
      </c>
      <c r="C10" s="270">
        <v>231</v>
      </c>
      <c r="D10" s="271">
        <f t="shared" si="8"/>
      </c>
      <c r="E10" s="272">
        <v>88</v>
      </c>
      <c r="F10" s="273">
        <f t="shared" si="0"/>
      </c>
      <c r="G10" s="274">
        <v>1</v>
      </c>
      <c r="H10" s="275">
        <f t="shared" si="4"/>
      </c>
      <c r="I10" s="267"/>
      <c r="J10" s="276"/>
      <c r="K10" s="267"/>
      <c r="L10" s="267"/>
      <c r="M10" s="267"/>
      <c r="N10" s="267"/>
      <c r="O10" s="267"/>
      <c r="P10" s="267"/>
      <c r="Q10" s="267"/>
    </row>
    <row r="11">
      <c r="A11" s="268">
        <v>160019</v>
      </c>
      <c r="B11" s="269">
        <v>281</v>
      </c>
      <c r="C11" s="270">
        <v>219</v>
      </c>
      <c r="D11" s="271">
        <f t="shared" si="8"/>
      </c>
      <c r="E11" s="284">
        <v>62</v>
      </c>
      <c r="F11" s="273">
        <f t="shared" si="0"/>
      </c>
      <c r="G11" s="274"/>
      <c r="H11" s="275">
        <f t="shared" si="4"/>
      </c>
      <c r="I11" s="267"/>
      <c r="J11" s="276"/>
      <c r="K11" s="267"/>
      <c r="L11" s="267"/>
      <c r="M11" s="267"/>
      <c r="N11" s="267"/>
      <c r="O11" s="267"/>
      <c r="P11" s="267"/>
      <c r="Q11" s="267"/>
    </row>
    <row r="12">
      <c r="A12" s="268">
        <v>70000</v>
      </c>
      <c r="B12" s="269">
        <v>279</v>
      </c>
      <c r="C12" s="270">
        <v>206</v>
      </c>
      <c r="D12" s="271">
        <f t="shared" si="8"/>
      </c>
      <c r="E12" s="272">
        <v>73</v>
      </c>
      <c r="F12" s="273">
        <f t="shared" si="0"/>
      </c>
      <c r="G12" s="274"/>
      <c r="H12" s="275">
        <f t="shared" si="4"/>
      </c>
      <c r="I12" s="267"/>
      <c r="J12" s="276"/>
      <c r="K12" s="267"/>
      <c r="L12" s="267"/>
      <c r="M12" s="267"/>
      <c r="N12" s="267"/>
      <c r="O12" s="267"/>
      <c r="P12" s="267"/>
      <c r="Q12" s="267"/>
    </row>
    <row r="13">
      <c r="A13" s="268">
        <v>70002</v>
      </c>
      <c r="B13" s="269">
        <v>162</v>
      </c>
      <c r="C13" s="270">
        <v>116</v>
      </c>
      <c r="D13" s="271">
        <f t="shared" si="8"/>
      </c>
      <c r="E13" s="272">
        <v>46</v>
      </c>
      <c r="F13" s="273">
        <f t="shared" si="0"/>
      </c>
      <c r="G13" s="274"/>
      <c r="H13" s="275">
        <f t="shared" si="4"/>
      </c>
      <c r="I13" s="267"/>
      <c r="J13" s="276"/>
      <c r="K13" s="267"/>
      <c r="L13" s="267"/>
      <c r="M13" s="267"/>
      <c r="N13" s="267"/>
      <c r="O13" s="267"/>
      <c r="P13" s="267"/>
      <c r="Q13" s="267"/>
    </row>
    <row r="14">
      <c r="A14" s="268">
        <v>40000</v>
      </c>
      <c r="B14" s="269">
        <v>146</v>
      </c>
      <c r="C14" s="270">
        <v>96</v>
      </c>
      <c r="D14" s="271">
        <f t="shared" si="8"/>
      </c>
      <c r="E14" s="272">
        <v>50</v>
      </c>
      <c r="F14" s="273">
        <f t="shared" si="0"/>
      </c>
      <c r="G14" s="274"/>
      <c r="H14" s="275">
        <f t="shared" si="4"/>
      </c>
      <c r="I14" s="267"/>
      <c r="J14" s="276"/>
      <c r="K14" s="267"/>
      <c r="L14" s="267"/>
      <c r="M14" s="267"/>
      <c r="N14" s="267"/>
      <c r="O14" s="267"/>
      <c r="P14" s="267"/>
      <c r="Q14" s="267"/>
    </row>
    <row r="15">
      <c r="A15" s="268">
        <v>280001</v>
      </c>
      <c r="B15" s="269">
        <v>134</v>
      </c>
      <c r="C15" s="270">
        <v>93</v>
      </c>
      <c r="D15" s="271">
        <f t="shared" si="8"/>
      </c>
      <c r="E15" s="272">
        <v>41</v>
      </c>
      <c r="F15" s="273">
        <f t="shared" si="0"/>
      </c>
      <c r="G15" s="274"/>
      <c r="H15" s="275">
        <f t="shared" si="4"/>
      </c>
      <c r="I15" s="267"/>
      <c r="J15" s="276"/>
      <c r="K15" s="267"/>
      <c r="L15" s="267"/>
      <c r="M15" s="267"/>
      <c r="N15" s="267"/>
      <c r="O15" s="267"/>
      <c r="P15" s="267"/>
      <c r="Q15" s="267"/>
    </row>
    <row r="16">
      <c r="A16" s="268">
        <v>70003</v>
      </c>
      <c r="B16" s="269">
        <v>106</v>
      </c>
      <c r="C16" s="270">
        <v>80</v>
      </c>
      <c r="D16" s="271">
        <f t="shared" si="8"/>
      </c>
      <c r="E16" s="272">
        <v>26</v>
      </c>
      <c r="F16" s="273">
        <f t="shared" si="0"/>
      </c>
      <c r="G16" s="274"/>
      <c r="H16" s="275">
        <f t="shared" si="4"/>
      </c>
      <c r="I16" s="267"/>
      <c r="J16" s="276"/>
      <c r="K16" s="267"/>
      <c r="L16" s="267"/>
      <c r="M16" s="267"/>
      <c r="N16" s="267"/>
      <c r="O16" s="267"/>
      <c r="P16" s="267"/>
      <c r="Q16" s="267"/>
    </row>
    <row r="17">
      <c r="A17" s="268">
        <v>160011</v>
      </c>
      <c r="B17" s="269">
        <v>106</v>
      </c>
      <c r="C17" s="270">
        <v>89</v>
      </c>
      <c r="D17" s="271">
        <f t="shared" si="8"/>
      </c>
      <c r="E17" s="272">
        <v>17</v>
      </c>
      <c r="F17" s="273">
        <f t="shared" si="0"/>
      </c>
      <c r="G17" s="274"/>
      <c r="H17" s="275">
        <f t="shared" si="4"/>
      </c>
      <c r="I17" s="267"/>
      <c r="J17" s="276"/>
      <c r="K17" s="267"/>
      <c r="L17" s="267"/>
      <c r="M17" s="267"/>
      <c r="N17" s="267"/>
      <c r="O17" s="267"/>
      <c r="P17" s="267"/>
      <c r="Q17" s="267"/>
    </row>
    <row r="18">
      <c r="A18" s="268">
        <v>160007</v>
      </c>
      <c r="B18" s="269">
        <v>81</v>
      </c>
      <c r="C18" s="270">
        <v>64</v>
      </c>
      <c r="D18" s="271">
        <f t="shared" si="8"/>
      </c>
      <c r="E18" s="272">
        <v>17</v>
      </c>
      <c r="F18" s="273">
        <f t="shared" si="0"/>
      </c>
      <c r="G18" s="274"/>
      <c r="H18" s="275">
        <f t="shared" si="4"/>
      </c>
      <c r="I18" s="267"/>
      <c r="J18" s="276"/>
      <c r="K18" s="267"/>
      <c r="L18" s="267"/>
      <c r="M18" s="267"/>
      <c r="N18" s="267"/>
      <c r="O18" s="267"/>
      <c r="P18" s="267"/>
      <c r="Q18" s="267"/>
    </row>
    <row r="19">
      <c r="A19" s="268">
        <v>10007</v>
      </c>
      <c r="B19" s="269">
        <v>79</v>
      </c>
      <c r="C19" s="270">
        <v>51</v>
      </c>
      <c r="D19" s="271">
        <f t="shared" si="8"/>
      </c>
      <c r="E19" s="272">
        <v>28</v>
      </c>
      <c r="F19" s="273">
        <f t="shared" si="0"/>
      </c>
      <c r="G19" s="274"/>
      <c r="H19" s="275">
        <f t="shared" si="4"/>
      </c>
      <c r="I19" s="267"/>
      <c r="J19" s="276"/>
      <c r="K19" s="267"/>
      <c r="L19" s="267"/>
      <c r="M19" s="267"/>
      <c r="N19" s="267"/>
      <c r="O19" s="267"/>
      <c r="P19" s="267"/>
      <c r="Q19" s="267"/>
    </row>
    <row r="20">
      <c r="A20" s="268">
        <v>10008</v>
      </c>
      <c r="B20" s="269">
        <v>75</v>
      </c>
      <c r="C20" s="270">
        <v>49</v>
      </c>
      <c r="D20" s="271">
        <f t="shared" si="8"/>
      </c>
      <c r="E20" s="272">
        <v>26</v>
      </c>
      <c r="F20" s="273">
        <f t="shared" si="0"/>
      </c>
      <c r="G20" s="274"/>
      <c r="H20" s="275">
        <f t="shared" si="4"/>
      </c>
      <c r="I20" s="267"/>
      <c r="J20" s="276"/>
      <c r="K20" s="267"/>
      <c r="L20" s="267"/>
      <c r="M20" s="267"/>
      <c r="N20" s="267"/>
      <c r="O20" s="267"/>
      <c r="P20" s="267"/>
      <c r="Q20" s="267"/>
    </row>
    <row r="21">
      <c r="A21" s="268">
        <v>20000</v>
      </c>
      <c r="B21" s="269">
        <v>72</v>
      </c>
      <c r="C21" s="270">
        <v>57</v>
      </c>
      <c r="D21" s="271">
        <f t="shared" si="8"/>
      </c>
      <c r="E21" s="272">
        <v>15</v>
      </c>
      <c r="F21" s="273">
        <f t="shared" si="0"/>
      </c>
      <c r="G21" s="274"/>
      <c r="H21" s="275">
        <f t="shared" si="4"/>
      </c>
      <c r="I21" s="267"/>
      <c r="J21" s="276"/>
      <c r="K21" s="267"/>
      <c r="L21" s="267"/>
      <c r="M21" s="267"/>
      <c r="N21" s="267"/>
      <c r="O21" s="267"/>
      <c r="P21" s="267"/>
      <c r="Q21" s="267"/>
    </row>
    <row r="22">
      <c r="A22" s="268">
        <v>260001</v>
      </c>
      <c r="B22" s="269">
        <v>67</v>
      </c>
      <c r="C22" s="270">
        <v>60</v>
      </c>
      <c r="D22" s="271">
        <f t="shared" si="8"/>
      </c>
      <c r="E22" s="284">
        <v>7</v>
      </c>
      <c r="F22" s="273">
        <f t="shared" si="0"/>
      </c>
      <c r="G22" s="274"/>
      <c r="H22" s="275">
        <f t="shared" si="4"/>
      </c>
      <c r="I22" s="267"/>
      <c r="J22" s="276"/>
      <c r="K22" s="267"/>
      <c r="L22" s="267"/>
      <c r="M22" s="267"/>
      <c r="N22" s="267"/>
      <c r="O22" s="267"/>
      <c r="P22" s="267"/>
      <c r="Q22" s="267"/>
    </row>
    <row r="23">
      <c r="A23" s="268">
        <v>260004</v>
      </c>
      <c r="B23" s="269">
        <v>55</v>
      </c>
      <c r="C23" s="270">
        <v>47</v>
      </c>
      <c r="D23" s="271">
        <f t="shared" si="8"/>
      </c>
      <c r="E23" s="272">
        <v>8</v>
      </c>
      <c r="F23" s="273">
        <f t="shared" si="0"/>
      </c>
      <c r="G23" s="274"/>
      <c r="H23" s="275">
        <f t="shared" si="4"/>
      </c>
      <c r="I23" s="267"/>
      <c r="J23" s="276"/>
      <c r="K23" s="267"/>
      <c r="L23" s="267"/>
      <c r="M23" s="267"/>
      <c r="N23" s="267"/>
      <c r="O23" s="267"/>
      <c r="P23" s="267"/>
      <c r="Q23" s="267"/>
    </row>
    <row r="24">
      <c r="A24" s="268">
        <v>190007</v>
      </c>
      <c r="B24" s="269">
        <v>53</v>
      </c>
      <c r="C24" s="270">
        <v>37</v>
      </c>
      <c r="D24" s="271">
        <f t="shared" si="8"/>
      </c>
      <c r="E24" s="272">
        <v>16</v>
      </c>
      <c r="F24" s="273">
        <f t="shared" si="0"/>
      </c>
      <c r="G24" s="274"/>
      <c r="H24" s="275">
        <f t="shared" si="4"/>
      </c>
      <c r="I24" s="267"/>
      <c r="J24" s="276"/>
      <c r="K24" s="267"/>
      <c r="L24" s="267"/>
      <c r="M24" s="267"/>
      <c r="N24" s="267"/>
      <c r="O24" s="267"/>
      <c r="P24" s="267"/>
      <c r="Q24" s="267"/>
    </row>
    <row r="25">
      <c r="A25" s="268">
        <v>160025</v>
      </c>
      <c r="B25" s="269">
        <v>50</v>
      </c>
      <c r="C25" s="270">
        <v>34</v>
      </c>
      <c r="D25" s="271">
        <f t="shared" si="8"/>
      </c>
      <c r="E25" s="272">
        <v>16</v>
      </c>
      <c r="F25" s="273">
        <f t="shared" si="0"/>
      </c>
      <c r="G25" s="274"/>
      <c r="H25" s="275">
        <f t="shared" si="4"/>
      </c>
      <c r="I25" s="267"/>
      <c r="J25" s="276"/>
      <c r="K25" s="267"/>
      <c r="L25" s="267"/>
      <c r="M25" s="267"/>
      <c r="N25" s="267"/>
      <c r="O25" s="267"/>
      <c r="P25" s="267"/>
      <c r="Q25" s="267"/>
    </row>
    <row r="26">
      <c r="A26" s="268">
        <v>70006</v>
      </c>
      <c r="B26" s="269">
        <v>46</v>
      </c>
      <c r="C26" s="270">
        <v>32</v>
      </c>
      <c r="D26" s="271">
        <f t="shared" si="8"/>
      </c>
      <c r="E26" s="272">
        <v>14</v>
      </c>
      <c r="F26" s="273">
        <f t="shared" si="0"/>
      </c>
      <c r="G26" s="274"/>
      <c r="H26" s="275">
        <f t="shared" si="4"/>
      </c>
      <c r="I26" s="267"/>
      <c r="J26" s="276"/>
      <c r="K26" s="267"/>
      <c r="L26" s="267"/>
      <c r="M26" s="267"/>
      <c r="N26" s="267"/>
      <c r="O26" s="267"/>
      <c r="P26" s="267"/>
      <c r="Q26" s="267"/>
    </row>
    <row r="27">
      <c r="A27" s="268">
        <v>70004</v>
      </c>
      <c r="B27" s="269">
        <v>41</v>
      </c>
      <c r="C27" s="270">
        <v>31</v>
      </c>
      <c r="D27" s="271">
        <f t="shared" si="8"/>
      </c>
      <c r="E27" s="272">
        <v>10</v>
      </c>
      <c r="F27" s="273">
        <f t="shared" si="0"/>
      </c>
      <c r="G27" s="274"/>
      <c r="H27" s="275">
        <f t="shared" si="4"/>
      </c>
      <c r="I27" s="267"/>
      <c r="J27" s="276"/>
      <c r="K27" s="267"/>
      <c r="L27" s="267"/>
      <c r="M27" s="267"/>
      <c r="N27" s="267"/>
      <c r="O27" s="267"/>
      <c r="P27" s="267"/>
      <c r="Q27" s="267"/>
    </row>
    <row r="28">
      <c r="A28" s="268">
        <v>260008</v>
      </c>
      <c r="B28" s="269">
        <v>33</v>
      </c>
      <c r="C28" s="270">
        <v>25</v>
      </c>
      <c r="D28" s="271">
        <f t="shared" si="8"/>
      </c>
      <c r="E28" s="272">
        <v>8</v>
      </c>
      <c r="F28" s="273">
        <f t="shared" si="0"/>
      </c>
      <c r="G28" s="274"/>
      <c r="H28" s="275">
        <f t="shared" si="4"/>
      </c>
      <c r="I28" s="267"/>
      <c r="J28" s="276"/>
      <c r="K28" s="267"/>
      <c r="L28" s="267"/>
      <c r="M28" s="267"/>
      <c r="N28" s="267"/>
      <c r="O28" s="267"/>
      <c r="P28" s="267"/>
      <c r="Q28" s="267"/>
    </row>
    <row r="29">
      <c r="A29" s="268">
        <v>260010</v>
      </c>
      <c r="B29" s="269">
        <v>31</v>
      </c>
      <c r="C29" s="270">
        <v>23</v>
      </c>
      <c r="D29" s="271">
        <f t="shared" si="8"/>
      </c>
      <c r="E29" s="272">
        <v>7</v>
      </c>
      <c r="F29" s="273">
        <f t="shared" si="0"/>
      </c>
      <c r="G29" s="274">
        <v>1</v>
      </c>
      <c r="H29" s="275">
        <f t="shared" si="4"/>
      </c>
      <c r="I29" s="267"/>
      <c r="J29" s="276"/>
      <c r="K29" s="267"/>
      <c r="L29" s="267"/>
      <c r="M29" s="267"/>
      <c r="N29" s="267"/>
      <c r="O29" s="267"/>
      <c r="P29" s="267"/>
      <c r="Q29" s="267"/>
    </row>
    <row r="30">
      <c r="A30" s="268">
        <v>1</v>
      </c>
      <c r="B30" s="269">
        <v>30</v>
      </c>
      <c r="C30" s="270">
        <v>20</v>
      </c>
      <c r="D30" s="271">
        <f t="shared" si="8"/>
      </c>
      <c r="E30" s="272">
        <v>10</v>
      </c>
      <c r="F30" s="273">
        <f t="shared" si="0"/>
      </c>
      <c r="G30" s="274"/>
      <c r="H30" s="275">
        <f t="shared" si="4"/>
      </c>
      <c r="I30" s="267"/>
      <c r="J30" s="276"/>
      <c r="K30" s="267"/>
      <c r="L30" s="267"/>
      <c r="M30" s="267"/>
      <c r="N30" s="267"/>
      <c r="O30" s="267"/>
      <c r="P30" s="267"/>
      <c r="Q30" s="267"/>
    </row>
    <row r="31">
      <c r="A31" s="268">
        <v>10004</v>
      </c>
      <c r="B31" s="269">
        <v>30</v>
      </c>
      <c r="C31" s="270">
        <v>15</v>
      </c>
      <c r="D31" s="271">
        <f t="shared" si="8"/>
      </c>
      <c r="E31" s="272">
        <v>15</v>
      </c>
      <c r="F31" s="273">
        <f t="shared" si="0"/>
      </c>
      <c r="G31" s="274"/>
      <c r="H31" s="275">
        <f t="shared" si="4"/>
      </c>
      <c r="I31" s="267"/>
      <c r="J31" s="276"/>
      <c r="K31" s="267"/>
      <c r="L31" s="267"/>
      <c r="M31" s="267"/>
      <c r="N31" s="267"/>
      <c r="O31" s="267"/>
      <c r="P31" s="267"/>
      <c r="Q31" s="267"/>
    </row>
    <row r="32">
      <c r="A32" s="268">
        <v>70007</v>
      </c>
      <c r="B32" s="269">
        <v>29</v>
      </c>
      <c r="C32" s="270">
        <v>19</v>
      </c>
      <c r="D32" s="271">
        <f t="shared" si="8"/>
      </c>
      <c r="E32" s="272">
        <v>10</v>
      </c>
      <c r="F32" s="273">
        <f t="shared" si="0"/>
      </c>
      <c r="G32" s="274"/>
      <c r="H32" s="275">
        <f t="shared" si="4"/>
      </c>
      <c r="I32" s="267"/>
      <c r="J32" s="276"/>
      <c r="K32" s="267"/>
      <c r="L32" s="267"/>
      <c r="M32" s="267"/>
      <c r="N32" s="267"/>
      <c r="O32" s="267"/>
      <c r="P32" s="267"/>
      <c r="Q32" s="267"/>
    </row>
    <row r="33">
      <c r="A33" s="268">
        <v>160010</v>
      </c>
      <c r="B33" s="269">
        <v>28</v>
      </c>
      <c r="C33" s="270">
        <v>20</v>
      </c>
      <c r="D33" s="271">
        <f t="shared" si="8"/>
      </c>
      <c r="E33" s="284">
        <v>8</v>
      </c>
      <c r="F33" s="273">
        <f t="shared" si="0"/>
      </c>
      <c r="G33" s="274"/>
      <c r="H33" s="275">
        <f t="shared" si="4"/>
      </c>
      <c r="I33" s="267"/>
      <c r="J33" s="276"/>
      <c r="K33" s="267"/>
      <c r="L33" s="267"/>
      <c r="M33" s="267"/>
      <c r="N33" s="267"/>
      <c r="O33" s="267"/>
      <c r="P33" s="267"/>
      <c r="Q33" s="267"/>
    </row>
    <row r="34">
      <c r="A34" s="268">
        <v>3</v>
      </c>
      <c r="B34" s="269">
        <v>27</v>
      </c>
      <c r="C34" s="270">
        <v>16</v>
      </c>
      <c r="D34" s="271">
        <f t="shared" si="8"/>
      </c>
      <c r="E34" s="272">
        <v>11</v>
      </c>
      <c r="F34" s="273">
        <f t="shared" si="0"/>
      </c>
      <c r="G34" s="274"/>
      <c r="H34" s="275">
        <f t="shared" si="4"/>
      </c>
      <c r="I34" s="267"/>
      <c r="J34" s="276"/>
      <c r="K34" s="267"/>
      <c r="L34" s="267"/>
      <c r="M34" s="267"/>
      <c r="N34" s="267"/>
      <c r="O34" s="267"/>
      <c r="P34" s="267"/>
      <c r="Q34" s="267"/>
    </row>
    <row r="35">
      <c r="A35" s="268">
        <v>90000</v>
      </c>
      <c r="B35" s="269">
        <v>27</v>
      </c>
      <c r="C35" s="270">
        <v>24</v>
      </c>
      <c r="D35" s="271">
        <f t="shared" si="8"/>
      </c>
      <c r="E35" s="272">
        <v>3</v>
      </c>
      <c r="F35" s="273">
        <f t="shared" si="0"/>
      </c>
      <c r="G35" s="274"/>
      <c r="H35" s="275">
        <f t="shared" si="4"/>
      </c>
      <c r="I35" s="267"/>
      <c r="J35" s="276"/>
      <c r="K35" s="267"/>
      <c r="L35" s="267"/>
      <c r="M35" s="267"/>
      <c r="N35" s="267"/>
      <c r="O35" s="267"/>
      <c r="P35" s="267"/>
      <c r="Q35" s="267"/>
    </row>
    <row r="36">
      <c r="A36" s="268">
        <v>260003</v>
      </c>
      <c r="B36" s="269">
        <v>27</v>
      </c>
      <c r="C36" s="270">
        <v>18</v>
      </c>
      <c r="D36" s="271">
        <f t="shared" si="8"/>
      </c>
      <c r="E36" s="272">
        <v>9</v>
      </c>
      <c r="F36" s="273">
        <f t="shared" si="0"/>
      </c>
      <c r="G36" s="274"/>
      <c r="H36" s="275">
        <f t="shared" si="4"/>
      </c>
      <c r="I36" s="267"/>
      <c r="J36" s="276"/>
      <c r="K36" s="267"/>
      <c r="L36" s="267"/>
      <c r="M36" s="267"/>
      <c r="N36" s="267"/>
      <c r="O36" s="267"/>
      <c r="P36" s="267"/>
      <c r="Q36" s="267"/>
    </row>
    <row r="37">
      <c r="A37" s="268">
        <v>2</v>
      </c>
      <c r="B37" s="269">
        <v>26</v>
      </c>
      <c r="C37" s="270">
        <v>18</v>
      </c>
      <c r="D37" s="271">
        <f t="shared" si="8"/>
      </c>
      <c r="E37" s="272">
        <v>8</v>
      </c>
      <c r="F37" s="273">
        <f t="shared" si="0"/>
      </c>
      <c r="G37" s="274"/>
      <c r="H37" s="275">
        <f t="shared" si="4"/>
      </c>
      <c r="I37" s="267"/>
      <c r="J37" s="276"/>
      <c r="K37" s="267"/>
      <c r="L37" s="267"/>
      <c r="M37" s="267"/>
      <c r="N37" s="267"/>
      <c r="O37" s="267"/>
      <c r="P37" s="267"/>
      <c r="Q37" s="267"/>
    </row>
    <row r="38">
      <c r="A38" s="268">
        <v>160020</v>
      </c>
      <c r="B38" s="269">
        <v>24</v>
      </c>
      <c r="C38" s="270">
        <v>15</v>
      </c>
      <c r="D38" s="271">
        <f t="shared" si="8"/>
      </c>
      <c r="E38" s="272">
        <v>9</v>
      </c>
      <c r="F38" s="273">
        <f t="shared" si="0"/>
      </c>
      <c r="G38" s="274"/>
      <c r="H38" s="275">
        <f t="shared" si="4"/>
      </c>
      <c r="I38" s="267"/>
      <c r="J38" s="276"/>
      <c r="K38" s="267"/>
      <c r="L38" s="267"/>
      <c r="M38" s="267"/>
      <c r="N38" s="267"/>
      <c r="O38" s="267"/>
      <c r="P38" s="267"/>
      <c r="Q38" s="267"/>
    </row>
    <row r="39">
      <c r="A39" s="268">
        <v>220001</v>
      </c>
      <c r="B39" s="269">
        <v>23</v>
      </c>
      <c r="C39" s="270">
        <v>19</v>
      </c>
      <c r="D39" s="271">
        <f t="shared" si="8"/>
      </c>
      <c r="E39" s="272">
        <v>4</v>
      </c>
      <c r="F39" s="273">
        <f t="shared" si="0"/>
      </c>
      <c r="G39" s="274"/>
      <c r="H39" s="275">
        <f t="shared" si="4"/>
      </c>
      <c r="I39" s="267"/>
      <c r="J39" s="276"/>
      <c r="K39" s="267"/>
      <c r="L39" s="267"/>
      <c r="M39" s="267"/>
      <c r="N39" s="267"/>
      <c r="O39" s="267"/>
      <c r="P39" s="267"/>
      <c r="Q39" s="267"/>
    </row>
    <row r="40">
      <c r="A40" s="268">
        <v>1100006</v>
      </c>
      <c r="B40" s="269">
        <v>20</v>
      </c>
      <c r="C40" s="270">
        <v>16</v>
      </c>
      <c r="D40" s="271">
        <f t="shared" si="8"/>
      </c>
      <c r="E40" s="272">
        <v>4</v>
      </c>
      <c r="F40" s="273"/>
      <c r="G40" s="285"/>
      <c r="H40" s="275"/>
      <c r="I40" s="267"/>
      <c r="J40" s="276"/>
      <c r="K40" s="267"/>
      <c r="L40" s="267"/>
      <c r="M40" s="267"/>
      <c r="N40" s="267"/>
      <c r="O40" s="267"/>
      <c r="P40" s="267"/>
      <c r="Q40" s="267"/>
    </row>
    <row r="41">
      <c r="A41" s="268">
        <v>260005</v>
      </c>
      <c r="B41" s="269">
        <v>19</v>
      </c>
      <c r="C41" s="270">
        <v>14</v>
      </c>
      <c r="D41" s="271">
        <f t="shared" si="8"/>
      </c>
      <c r="E41" s="272">
        <v>5</v>
      </c>
      <c r="F41" s="273">
        <f t="shared" ref="F41:F57" si="1">E41/B41</f>
      </c>
      <c r="G41" s="274"/>
      <c r="H41" s="275">
        <f t="shared" ref="H41:H57" si="5">G41/B41</f>
      </c>
      <c r="I41" s="267"/>
      <c r="J41" s="276"/>
      <c r="K41" s="267"/>
      <c r="L41" s="267"/>
      <c r="M41" s="267"/>
      <c r="N41" s="267"/>
      <c r="O41" s="267"/>
      <c r="P41" s="267"/>
      <c r="Q41" s="267"/>
    </row>
    <row r="42">
      <c r="A42" s="268">
        <v>40001</v>
      </c>
      <c r="B42" s="269">
        <v>18</v>
      </c>
      <c r="C42" s="270">
        <v>9</v>
      </c>
      <c r="D42" s="271">
        <f t="shared" si="8"/>
      </c>
      <c r="E42" s="284">
        <v>9</v>
      </c>
      <c r="F42" s="273">
        <f t="shared" si="1"/>
      </c>
      <c r="G42" s="274"/>
      <c r="H42" s="275">
        <f t="shared" si="5"/>
      </c>
      <c r="I42" s="267"/>
      <c r="J42" s="276"/>
      <c r="K42" s="267"/>
      <c r="L42" s="267"/>
      <c r="M42" s="267"/>
      <c r="N42" s="267"/>
      <c r="O42" s="267"/>
      <c r="P42" s="267"/>
      <c r="Q42" s="267"/>
    </row>
    <row r="43">
      <c r="A43" s="268">
        <v>160022</v>
      </c>
      <c r="B43" s="269">
        <v>18</v>
      </c>
      <c r="C43" s="270">
        <v>14</v>
      </c>
      <c r="D43" s="271">
        <f t="shared" si="8"/>
      </c>
      <c r="E43" s="272">
        <v>4</v>
      </c>
      <c r="F43" s="273">
        <f t="shared" si="1"/>
      </c>
      <c r="G43" s="274"/>
      <c r="H43" s="275">
        <f t="shared" si="5"/>
      </c>
      <c r="I43" s="267"/>
      <c r="J43" s="276"/>
      <c r="K43" s="267"/>
      <c r="L43" s="267"/>
      <c r="M43" s="267"/>
      <c r="N43" s="267"/>
      <c r="O43" s="267"/>
      <c r="P43" s="267"/>
      <c r="Q43" s="267"/>
    </row>
    <row r="44">
      <c r="A44" s="268">
        <v>150001</v>
      </c>
      <c r="B44" s="269">
        <v>17</v>
      </c>
      <c r="C44" s="270">
        <v>7</v>
      </c>
      <c r="D44" s="271">
        <f t="shared" si="8"/>
      </c>
      <c r="E44" s="272">
        <v>10</v>
      </c>
      <c r="F44" s="273">
        <f t="shared" si="1"/>
      </c>
      <c r="G44" s="274"/>
      <c r="H44" s="275">
        <f t="shared" si="5"/>
      </c>
      <c r="I44" s="267"/>
      <c r="J44" s="276"/>
      <c r="K44" s="267"/>
      <c r="L44" s="267"/>
      <c r="M44" s="267"/>
      <c r="N44" s="267"/>
      <c r="O44" s="267"/>
      <c r="P44" s="267"/>
      <c r="Q44" s="267"/>
    </row>
    <row r="45">
      <c r="A45" s="268">
        <v>210003</v>
      </c>
      <c r="B45" s="269">
        <v>17</v>
      </c>
      <c r="C45" s="270">
        <v>15</v>
      </c>
      <c r="D45" s="271">
        <f t="shared" si="8"/>
      </c>
      <c r="E45" s="272">
        <v>2</v>
      </c>
      <c r="F45" s="273">
        <f t="shared" si="1"/>
      </c>
      <c r="G45" s="274"/>
      <c r="H45" s="275">
        <f t="shared" si="5"/>
      </c>
      <c r="I45" s="267"/>
      <c r="J45" s="276"/>
      <c r="K45" s="267"/>
      <c r="L45" s="267"/>
      <c r="M45" s="267"/>
      <c r="N45" s="267"/>
      <c r="O45" s="267"/>
      <c r="P45" s="267"/>
      <c r="Q45" s="267"/>
    </row>
    <row r="46">
      <c r="A46" s="268">
        <v>10000</v>
      </c>
      <c r="B46" s="269">
        <v>16</v>
      </c>
      <c r="C46" s="270">
        <v>12</v>
      </c>
      <c r="D46" s="271">
        <f t="shared" si="8"/>
      </c>
      <c r="E46" s="272">
        <v>4</v>
      </c>
      <c r="F46" s="273">
        <f t="shared" si="1"/>
      </c>
      <c r="G46" s="274"/>
      <c r="H46" s="275">
        <f t="shared" si="5"/>
      </c>
      <c r="I46" s="267"/>
      <c r="J46" s="276"/>
      <c r="K46" s="267"/>
      <c r="L46" s="267"/>
      <c r="M46" s="267"/>
      <c r="N46" s="267"/>
      <c r="O46" s="267"/>
      <c r="P46" s="267"/>
      <c r="Q46" s="267"/>
    </row>
    <row r="47">
      <c r="A47" s="268">
        <v>10003</v>
      </c>
      <c r="B47" s="269">
        <v>16</v>
      </c>
      <c r="C47" s="270">
        <v>10</v>
      </c>
      <c r="D47" s="271">
        <f t="shared" si="8"/>
      </c>
      <c r="E47" s="272">
        <v>6</v>
      </c>
      <c r="F47" s="273">
        <f t="shared" si="1"/>
      </c>
      <c r="G47" s="274"/>
      <c r="H47" s="275">
        <f t="shared" si="5"/>
      </c>
      <c r="I47" s="267"/>
      <c r="J47" s="276"/>
      <c r="K47" s="267"/>
      <c r="L47" s="267"/>
      <c r="M47" s="267"/>
      <c r="N47" s="267"/>
      <c r="O47" s="267"/>
      <c r="P47" s="267"/>
      <c r="Q47" s="267"/>
    </row>
    <row r="48">
      <c r="A48" s="268">
        <v>90002</v>
      </c>
      <c r="B48" s="269">
        <v>16</v>
      </c>
      <c r="C48" s="270">
        <v>11</v>
      </c>
      <c r="D48" s="271">
        <f t="shared" si="8"/>
      </c>
      <c r="E48" s="272">
        <v>5</v>
      </c>
      <c r="F48" s="273">
        <f t="shared" si="1"/>
      </c>
      <c r="G48" s="274"/>
      <c r="H48" s="275">
        <f t="shared" si="5"/>
      </c>
      <c r="I48" s="267"/>
      <c r="J48" s="276"/>
      <c r="K48" s="267"/>
      <c r="L48" s="267"/>
      <c r="M48" s="267"/>
      <c r="N48" s="267"/>
      <c r="O48" s="267"/>
      <c r="P48" s="267"/>
      <c r="Q48" s="267"/>
    </row>
    <row r="49">
      <c r="A49" s="268">
        <v>260006</v>
      </c>
      <c r="B49" s="269">
        <v>16</v>
      </c>
      <c r="C49" s="270">
        <v>14</v>
      </c>
      <c r="D49" s="271">
        <f t="shared" si="8"/>
      </c>
      <c r="E49" s="272">
        <v>2</v>
      </c>
      <c r="F49" s="273">
        <f t="shared" si="1"/>
      </c>
      <c r="G49" s="274"/>
      <c r="H49" s="275">
        <f t="shared" si="5"/>
      </c>
      <c r="I49" s="267"/>
      <c r="J49" s="276"/>
      <c r="K49" s="267"/>
      <c r="L49" s="267"/>
      <c r="M49" s="267"/>
      <c r="N49" s="267"/>
      <c r="O49" s="267"/>
      <c r="P49" s="267"/>
      <c r="Q49" s="267"/>
    </row>
    <row r="50">
      <c r="A50" s="268">
        <v>10001</v>
      </c>
      <c r="B50" s="269">
        <v>13</v>
      </c>
      <c r="C50" s="270">
        <v>8</v>
      </c>
      <c r="D50" s="271">
        <f t="shared" si="8"/>
      </c>
      <c r="E50" s="272">
        <v>5</v>
      </c>
      <c r="F50" s="273">
        <f t="shared" si="1"/>
      </c>
      <c r="G50" s="274"/>
      <c r="H50" s="275">
        <f t="shared" si="5"/>
      </c>
      <c r="I50" s="267"/>
      <c r="J50" s="276"/>
      <c r="K50" s="267"/>
      <c r="L50" s="267"/>
      <c r="M50" s="267"/>
      <c r="N50" s="267"/>
      <c r="O50" s="267"/>
      <c r="P50" s="267"/>
      <c r="Q50" s="267"/>
    </row>
    <row r="51">
      <c r="A51" s="268">
        <v>260011</v>
      </c>
      <c r="B51" s="269">
        <v>13</v>
      </c>
      <c r="C51" s="270">
        <v>11</v>
      </c>
      <c r="D51" s="271">
        <f t="shared" si="8"/>
      </c>
      <c r="E51" s="272">
        <v>2</v>
      </c>
      <c r="F51" s="273">
        <f t="shared" si="1"/>
      </c>
      <c r="G51" s="274"/>
      <c r="H51" s="275">
        <f t="shared" si="5"/>
      </c>
      <c r="I51" s="267"/>
      <c r="J51" s="276"/>
      <c r="K51" s="267"/>
      <c r="L51" s="267"/>
      <c r="M51" s="267"/>
      <c r="N51" s="267"/>
      <c r="O51" s="267"/>
      <c r="P51" s="267"/>
      <c r="Q51" s="267"/>
    </row>
    <row r="52">
      <c r="A52" s="268">
        <v>120001</v>
      </c>
      <c r="B52" s="269">
        <v>11</v>
      </c>
      <c r="C52" s="270">
        <v>7</v>
      </c>
      <c r="D52" s="271">
        <f t="shared" si="8"/>
      </c>
      <c r="E52" s="272">
        <v>4</v>
      </c>
      <c r="F52" s="273">
        <f t="shared" si="1"/>
      </c>
      <c r="G52" s="274"/>
      <c r="H52" s="275">
        <f t="shared" si="5"/>
      </c>
      <c r="I52" s="267"/>
      <c r="J52" s="276"/>
      <c r="K52" s="267"/>
      <c r="L52" s="267"/>
      <c r="M52" s="267"/>
      <c r="N52" s="267"/>
      <c r="O52" s="267"/>
      <c r="P52" s="267"/>
      <c r="Q52" s="267"/>
    </row>
    <row r="53">
      <c r="A53" s="268">
        <v>166666</v>
      </c>
      <c r="B53" s="269">
        <v>9</v>
      </c>
      <c r="C53" s="270">
        <v>7</v>
      </c>
      <c r="D53" s="271">
        <f t="shared" si="8"/>
      </c>
      <c r="E53" s="272">
        <v>2</v>
      </c>
      <c r="F53" s="273">
        <f t="shared" si="1"/>
      </c>
      <c r="G53" s="274"/>
      <c r="H53" s="275">
        <f t="shared" si="5"/>
      </c>
      <c r="I53" s="267"/>
      <c r="J53" s="276"/>
      <c r="K53" s="267"/>
      <c r="L53" s="267"/>
      <c r="M53" s="267"/>
      <c r="N53" s="267"/>
      <c r="O53" s="267"/>
      <c r="P53" s="267"/>
      <c r="Q53" s="267"/>
    </row>
    <row r="54">
      <c r="A54" s="268">
        <v>210004</v>
      </c>
      <c r="B54" s="269">
        <v>9</v>
      </c>
      <c r="C54" s="270">
        <v>6</v>
      </c>
      <c r="D54" s="271">
        <f t="shared" si="8"/>
      </c>
      <c r="E54" s="272">
        <v>3</v>
      </c>
      <c r="F54" s="273">
        <f t="shared" si="1"/>
      </c>
      <c r="G54" s="274"/>
      <c r="H54" s="275">
        <f t="shared" si="5"/>
      </c>
      <c r="I54" s="267"/>
      <c r="J54" s="276"/>
      <c r="K54" s="267"/>
      <c r="L54" s="267"/>
      <c r="M54" s="267"/>
      <c r="N54" s="267"/>
      <c r="O54" s="267"/>
      <c r="P54" s="267"/>
      <c r="Q54" s="267"/>
    </row>
    <row r="55">
      <c r="A55" s="268">
        <v>280002</v>
      </c>
      <c r="B55" s="269">
        <v>9</v>
      </c>
      <c r="C55" s="270">
        <v>8</v>
      </c>
      <c r="D55" s="271">
        <f t="shared" si="8"/>
      </c>
      <c r="E55" s="272">
        <v>1</v>
      </c>
      <c r="F55" s="273">
        <f t="shared" si="1"/>
      </c>
      <c r="G55" s="274"/>
      <c r="H55" s="275">
        <f t="shared" si="5"/>
      </c>
      <c r="I55" s="267"/>
      <c r="J55" s="276"/>
      <c r="K55" s="267"/>
      <c r="L55" s="267"/>
      <c r="M55" s="267"/>
      <c r="N55" s="267"/>
      <c r="O55" s="267"/>
      <c r="P55" s="267"/>
      <c r="Q55" s="267"/>
    </row>
    <row r="56">
      <c r="A56" s="268">
        <v>70005</v>
      </c>
      <c r="B56" s="269">
        <v>7</v>
      </c>
      <c r="C56" s="270">
        <v>5</v>
      </c>
      <c r="D56" s="271">
        <f t="shared" si="8"/>
      </c>
      <c r="E56" s="272">
        <v>2</v>
      </c>
      <c r="F56" s="273">
        <f t="shared" si="1"/>
      </c>
      <c r="G56" s="274"/>
      <c r="H56" s="275">
        <f t="shared" si="5"/>
      </c>
      <c r="I56" s="267"/>
      <c r="J56" s="276"/>
      <c r="K56" s="267"/>
      <c r="L56" s="267"/>
      <c r="M56" s="267"/>
      <c r="N56" s="267"/>
      <c r="O56" s="267"/>
      <c r="P56" s="267"/>
      <c r="Q56" s="267"/>
    </row>
    <row r="57">
      <c r="A57" s="268">
        <v>160018</v>
      </c>
      <c r="B57" s="269">
        <v>7</v>
      </c>
      <c r="C57" s="270">
        <v>5</v>
      </c>
      <c r="D57" s="271">
        <f t="shared" si="8"/>
      </c>
      <c r="E57" s="284">
        <v>2</v>
      </c>
      <c r="F57" s="273">
        <f t="shared" si="1"/>
      </c>
      <c r="G57" s="274"/>
      <c r="H57" s="275">
        <f t="shared" si="5"/>
      </c>
      <c r="I57" s="267"/>
      <c r="J57" s="276"/>
      <c r="K57" s="267"/>
      <c r="L57" s="267"/>
      <c r="M57" s="267"/>
      <c r="N57" s="267"/>
      <c r="O57" s="267"/>
      <c r="P57" s="267"/>
      <c r="Q57" s="267"/>
    </row>
    <row r="58">
      <c r="A58" s="268">
        <v>1100004</v>
      </c>
      <c r="B58" s="269">
        <v>7</v>
      </c>
      <c r="C58" s="270">
        <v>6</v>
      </c>
      <c r="D58" s="271">
        <f t="shared" si="8"/>
      </c>
      <c r="E58" s="272">
        <v>1</v>
      </c>
      <c r="F58" s="273"/>
      <c r="G58" s="285"/>
      <c r="H58" s="275"/>
      <c r="I58" s="267"/>
      <c r="J58" s="276"/>
      <c r="K58" s="267"/>
      <c r="L58" s="267"/>
      <c r="M58" s="267"/>
      <c r="N58" s="267"/>
      <c r="O58" s="267"/>
      <c r="P58" s="267"/>
      <c r="Q58" s="267"/>
    </row>
    <row r="59">
      <c r="A59" s="268">
        <v>60000</v>
      </c>
      <c r="B59" s="269">
        <v>6</v>
      </c>
      <c r="C59" s="270">
        <v>5</v>
      </c>
      <c r="D59" s="271">
        <f t="shared" si="8"/>
      </c>
      <c r="E59" s="284">
        <v>1</v>
      </c>
      <c r="F59" s="273">
        <f t="shared" ref="F59:F83" si="2">E59/B59</f>
      </c>
      <c r="G59" s="274"/>
      <c r="H59" s="275">
        <f t="shared" ref="H59:H83" si="6">G59/B59</f>
      </c>
      <c r="I59" s="267"/>
      <c r="J59" s="276"/>
      <c r="K59" s="267"/>
      <c r="L59" s="267"/>
      <c r="M59" s="267"/>
      <c r="N59" s="267"/>
      <c r="O59" s="267"/>
      <c r="P59" s="267"/>
      <c r="Q59" s="267"/>
    </row>
    <row r="60">
      <c r="A60" s="268">
        <v>70010</v>
      </c>
      <c r="B60" s="269">
        <v>6</v>
      </c>
      <c r="C60" s="270">
        <v>5</v>
      </c>
      <c r="D60" s="271">
        <f t="shared" si="8"/>
      </c>
      <c r="E60" s="284">
        <v>1</v>
      </c>
      <c r="F60" s="273">
        <f t="shared" si="2"/>
      </c>
      <c r="G60" s="274"/>
      <c r="H60" s="275">
        <f t="shared" si="6"/>
      </c>
      <c r="I60" s="267"/>
      <c r="J60" s="276"/>
      <c r="K60" s="267"/>
      <c r="L60" s="267"/>
      <c r="M60" s="267"/>
      <c r="N60" s="267"/>
      <c r="O60" s="267"/>
      <c r="P60" s="267"/>
      <c r="Q60" s="267"/>
    </row>
    <row r="61">
      <c r="A61" s="268">
        <v>190006</v>
      </c>
      <c r="B61" s="269">
        <v>6</v>
      </c>
      <c r="C61" s="270">
        <v>3</v>
      </c>
      <c r="D61" s="271">
        <f t="shared" si="8"/>
      </c>
      <c r="E61" s="272">
        <v>3</v>
      </c>
      <c r="F61" s="273">
        <f t="shared" si="2"/>
      </c>
      <c r="G61" s="274"/>
      <c r="H61" s="275">
        <f t="shared" si="6"/>
      </c>
      <c r="I61" s="267"/>
      <c r="J61" s="276"/>
      <c r="K61" s="267"/>
      <c r="L61" s="267"/>
      <c r="M61" s="267"/>
      <c r="N61" s="267"/>
      <c r="O61" s="267"/>
      <c r="P61" s="267"/>
      <c r="Q61" s="267"/>
    </row>
    <row r="62">
      <c r="A62" s="268">
        <v>200002</v>
      </c>
      <c r="B62" s="269">
        <v>6</v>
      </c>
      <c r="C62" s="270">
        <v>5</v>
      </c>
      <c r="D62" s="271">
        <f t="shared" si="8"/>
      </c>
      <c r="E62" s="284">
        <v>1</v>
      </c>
      <c r="F62" s="273">
        <f t="shared" si="2"/>
      </c>
      <c r="G62" s="274"/>
      <c r="H62" s="275">
        <f t="shared" si="6"/>
      </c>
      <c r="I62" s="267"/>
      <c r="J62" s="276"/>
      <c r="K62" s="267"/>
      <c r="L62" s="267"/>
      <c r="M62" s="267"/>
      <c r="N62" s="267"/>
      <c r="O62" s="267"/>
      <c r="P62" s="267"/>
      <c r="Q62" s="267"/>
    </row>
    <row r="63">
      <c r="A63" s="268">
        <v>70001</v>
      </c>
      <c r="B63" s="269">
        <v>5</v>
      </c>
      <c r="C63" s="270">
        <v>4</v>
      </c>
      <c r="D63" s="271">
        <f t="shared" si="8"/>
      </c>
      <c r="E63" s="272">
        <v>1</v>
      </c>
      <c r="F63" s="273">
        <f t="shared" si="2"/>
      </c>
      <c r="G63" s="274"/>
      <c r="H63" s="275">
        <f t="shared" si="6"/>
      </c>
      <c r="I63" s="267"/>
      <c r="J63" s="276"/>
      <c r="K63" s="267"/>
      <c r="L63" s="267"/>
      <c r="M63" s="267"/>
      <c r="N63" s="267"/>
      <c r="O63" s="267"/>
      <c r="P63" s="267"/>
      <c r="Q63" s="267"/>
    </row>
    <row r="64">
      <c r="A64" s="268">
        <v>90004</v>
      </c>
      <c r="B64" s="269">
        <v>4</v>
      </c>
      <c r="C64" s="270">
        <v>4</v>
      </c>
      <c r="D64" s="271">
        <f t="shared" si="8"/>
      </c>
      <c r="E64" s="272"/>
      <c r="F64" s="273">
        <f t="shared" si="2"/>
      </c>
      <c r="G64" s="274"/>
      <c r="H64" s="275">
        <f t="shared" si="6"/>
      </c>
      <c r="I64" s="267"/>
      <c r="J64" s="276"/>
      <c r="K64" s="267"/>
      <c r="L64" s="267"/>
      <c r="M64" s="267"/>
      <c r="N64" s="267"/>
      <c r="O64" s="267"/>
      <c r="P64" s="267"/>
      <c r="Q64" s="267"/>
    </row>
    <row r="65">
      <c r="A65" s="268">
        <v>150003</v>
      </c>
      <c r="B65" s="269">
        <v>4</v>
      </c>
      <c r="C65" s="270">
        <v>4</v>
      </c>
      <c r="D65" s="271">
        <f t="shared" si="8"/>
      </c>
      <c r="E65" s="272"/>
      <c r="F65" s="273">
        <f t="shared" si="2"/>
      </c>
      <c r="G65" s="274"/>
      <c r="H65" s="275">
        <f t="shared" si="6"/>
      </c>
      <c r="I65" s="267"/>
      <c r="J65" s="276"/>
      <c r="K65" s="267"/>
      <c r="L65" s="267"/>
      <c r="M65" s="267"/>
      <c r="N65" s="267"/>
      <c r="O65" s="267"/>
      <c r="P65" s="267"/>
      <c r="Q65" s="267"/>
    </row>
    <row r="66">
      <c r="A66" s="268">
        <v>150004</v>
      </c>
      <c r="B66" s="269">
        <v>4</v>
      </c>
      <c r="C66" s="270">
        <v>4</v>
      </c>
      <c r="D66" s="271">
        <f t="shared" si="8"/>
      </c>
      <c r="E66" s="272"/>
      <c r="F66" s="273">
        <f t="shared" si="2"/>
      </c>
      <c r="G66" s="274"/>
      <c r="H66" s="275">
        <f t="shared" si="6"/>
      </c>
      <c r="I66" s="267"/>
      <c r="J66" s="276"/>
      <c r="K66" s="267"/>
      <c r="L66" s="267"/>
      <c r="M66" s="267"/>
      <c r="N66" s="267"/>
      <c r="O66" s="267"/>
      <c r="P66" s="267"/>
      <c r="Q66" s="267"/>
    </row>
    <row r="67">
      <c r="A67" s="268">
        <v>160013</v>
      </c>
      <c r="B67" s="269">
        <v>4</v>
      </c>
      <c r="C67" s="270">
        <v>4</v>
      </c>
      <c r="D67" s="271">
        <f t="shared" si="8"/>
      </c>
      <c r="E67" s="272"/>
      <c r="F67" s="273">
        <f t="shared" si="2"/>
      </c>
      <c r="G67" s="274"/>
      <c r="H67" s="275">
        <f t="shared" si="6"/>
      </c>
      <c r="I67" s="267"/>
      <c r="J67" s="276"/>
      <c r="K67" s="267"/>
      <c r="L67" s="267"/>
      <c r="M67" s="267"/>
      <c r="N67" s="267"/>
      <c r="O67" s="267"/>
      <c r="P67" s="267"/>
      <c r="Q67" s="267"/>
    </row>
    <row r="68">
      <c r="A68" s="268">
        <v>190005</v>
      </c>
      <c r="B68" s="269">
        <v>4</v>
      </c>
      <c r="C68" s="270">
        <v>2</v>
      </c>
      <c r="D68" s="271">
        <f t="shared" si="8"/>
      </c>
      <c r="E68" s="284">
        <v>2</v>
      </c>
      <c r="F68" s="273">
        <f t="shared" si="2"/>
      </c>
      <c r="G68" s="274"/>
      <c r="H68" s="275">
        <f t="shared" si="6"/>
      </c>
      <c r="I68" s="267"/>
      <c r="J68" s="276"/>
      <c r="K68" s="267"/>
      <c r="L68" s="267"/>
      <c r="M68" s="267"/>
      <c r="N68" s="267"/>
      <c r="O68" s="267"/>
      <c r="P68" s="267"/>
      <c r="Q68" s="267"/>
    </row>
    <row r="69">
      <c r="A69" s="268">
        <v>10002</v>
      </c>
      <c r="B69" s="269">
        <v>3</v>
      </c>
      <c r="C69" s="270">
        <v>2</v>
      </c>
      <c r="D69" s="271">
        <f t="shared" si="8"/>
      </c>
      <c r="E69" s="272">
        <v>1</v>
      </c>
      <c r="F69" s="273">
        <f t="shared" si="2"/>
      </c>
      <c r="G69" s="274"/>
      <c r="H69" s="275">
        <f t="shared" si="6"/>
      </c>
      <c r="I69" s="267"/>
      <c r="J69" s="276"/>
      <c r="K69" s="267"/>
      <c r="L69" s="267"/>
      <c r="M69" s="267"/>
      <c r="N69" s="267"/>
      <c r="O69" s="267"/>
      <c r="P69" s="267"/>
      <c r="Q69" s="267"/>
    </row>
    <row r="70">
      <c r="A70" s="268">
        <v>120000</v>
      </c>
      <c r="B70" s="269">
        <v>3</v>
      </c>
      <c r="C70" s="270">
        <v>3</v>
      </c>
      <c r="D70" s="271">
        <f t="shared" si="8"/>
      </c>
      <c r="E70" s="284"/>
      <c r="F70" s="273">
        <f t="shared" si="2"/>
      </c>
      <c r="G70" s="274"/>
      <c r="H70" s="275">
        <f t="shared" si="6"/>
      </c>
      <c r="I70" s="267"/>
      <c r="J70" s="276"/>
      <c r="K70" s="267"/>
      <c r="L70" s="267"/>
      <c r="M70" s="267"/>
      <c r="N70" s="267"/>
      <c r="O70" s="267"/>
      <c r="P70" s="267"/>
      <c r="Q70" s="267"/>
    </row>
    <row r="71">
      <c r="A71" s="268">
        <v>210007</v>
      </c>
      <c r="B71" s="269">
        <v>3</v>
      </c>
      <c r="C71" s="270">
        <v>2</v>
      </c>
      <c r="D71" s="271">
        <f t="shared" si="8"/>
      </c>
      <c r="E71" s="272">
        <v>1</v>
      </c>
      <c r="F71" s="273">
        <f t="shared" si="2"/>
      </c>
      <c r="G71" s="274"/>
      <c r="H71" s="275">
        <f t="shared" si="6"/>
      </c>
      <c r="I71" s="267"/>
      <c r="J71" s="276"/>
      <c r="K71" s="267"/>
      <c r="L71" s="267"/>
      <c r="M71" s="267"/>
      <c r="N71" s="267"/>
      <c r="O71" s="267"/>
      <c r="P71" s="267"/>
      <c r="Q71" s="267"/>
    </row>
    <row r="72">
      <c r="A72" s="268">
        <v>230000</v>
      </c>
      <c r="B72" s="269">
        <v>3</v>
      </c>
      <c r="C72" s="270">
        <v>1</v>
      </c>
      <c r="D72" s="271">
        <f t="shared" si="8"/>
      </c>
      <c r="E72" s="272">
        <v>2</v>
      </c>
      <c r="F72" s="273">
        <f t="shared" si="2"/>
      </c>
      <c r="G72" s="274"/>
      <c r="H72" s="275">
        <f t="shared" si="6"/>
      </c>
      <c r="I72" s="267"/>
      <c r="J72" s="276"/>
      <c r="K72" s="267"/>
      <c r="L72" s="267"/>
      <c r="M72" s="267"/>
      <c r="N72" s="267"/>
      <c r="O72" s="267"/>
      <c r="P72" s="267"/>
      <c r="Q72" s="267"/>
    </row>
    <row r="73">
      <c r="A73" s="268">
        <v>60001</v>
      </c>
      <c r="B73" s="269">
        <v>2</v>
      </c>
      <c r="C73" s="270">
        <v>2</v>
      </c>
      <c r="D73" s="271">
        <f t="shared" si="8"/>
      </c>
      <c r="E73" s="272"/>
      <c r="F73" s="273">
        <f t="shared" si="2"/>
      </c>
      <c r="G73" s="274"/>
      <c r="H73" s="275">
        <f t="shared" si="6"/>
      </c>
      <c r="I73" s="267"/>
      <c r="J73" s="276"/>
      <c r="K73" s="267"/>
      <c r="L73" s="267"/>
      <c r="M73" s="267"/>
      <c r="N73" s="267"/>
      <c r="O73" s="267"/>
      <c r="P73" s="267"/>
      <c r="Q73" s="267"/>
    </row>
    <row r="74">
      <c r="A74" s="268">
        <v>120002</v>
      </c>
      <c r="B74" s="269">
        <v>2</v>
      </c>
      <c r="C74" s="270">
        <v>2</v>
      </c>
      <c r="D74" s="271">
        <f t="shared" si="8"/>
      </c>
      <c r="E74" s="272"/>
      <c r="F74" s="273">
        <f t="shared" si="2"/>
      </c>
      <c r="G74" s="274"/>
      <c r="H74" s="275">
        <f t="shared" si="6"/>
      </c>
      <c r="I74" s="267"/>
      <c r="J74" s="276"/>
      <c r="K74" s="267"/>
      <c r="L74" s="267"/>
      <c r="M74" s="267"/>
      <c r="N74" s="267"/>
      <c r="O74" s="267"/>
      <c r="P74" s="267"/>
      <c r="Q74" s="267"/>
    </row>
    <row r="75">
      <c r="A75" s="268">
        <v>130002</v>
      </c>
      <c r="B75" s="269">
        <v>2</v>
      </c>
      <c r="C75" s="270"/>
      <c r="D75" s="271">
        <f t="shared" si="8"/>
      </c>
      <c r="E75" s="272">
        <v>2</v>
      </c>
      <c r="F75" s="273">
        <f t="shared" si="2"/>
      </c>
      <c r="G75" s="274"/>
      <c r="H75" s="275">
        <f t="shared" si="6"/>
      </c>
      <c r="I75" s="267"/>
      <c r="J75" s="276"/>
      <c r="K75" s="267"/>
      <c r="L75" s="267"/>
      <c r="M75" s="267"/>
      <c r="N75" s="267"/>
      <c r="O75" s="267"/>
      <c r="P75" s="267"/>
      <c r="Q75" s="267"/>
    </row>
    <row r="76">
      <c r="A76" s="268">
        <v>160016</v>
      </c>
      <c r="B76" s="269">
        <v>2</v>
      </c>
      <c r="C76" s="270">
        <v>1</v>
      </c>
      <c r="D76" s="271">
        <f t="shared" si="8"/>
      </c>
      <c r="E76" s="272">
        <v>1</v>
      </c>
      <c r="F76" s="273">
        <f t="shared" si="2"/>
      </c>
      <c r="G76" s="274"/>
      <c r="H76" s="275">
        <f t="shared" si="6"/>
      </c>
      <c r="I76" s="267"/>
      <c r="J76" s="276"/>
      <c r="K76" s="267"/>
      <c r="L76" s="267"/>
      <c r="M76" s="267"/>
      <c r="N76" s="267"/>
      <c r="O76" s="267"/>
      <c r="P76" s="267"/>
      <c r="Q76" s="267"/>
    </row>
    <row r="77">
      <c r="A77" s="268">
        <v>160017</v>
      </c>
      <c r="B77" s="269">
        <v>2</v>
      </c>
      <c r="C77" s="270">
        <v>2</v>
      </c>
      <c r="D77" s="271">
        <f t="shared" si="8"/>
      </c>
      <c r="E77" s="272"/>
      <c r="F77" s="273">
        <f t="shared" si="2"/>
      </c>
      <c r="G77" s="274"/>
      <c r="H77" s="275">
        <f t="shared" si="6"/>
      </c>
      <c r="I77" s="267"/>
      <c r="J77" s="276"/>
      <c r="K77" s="267"/>
      <c r="L77" s="267"/>
      <c r="M77" s="267"/>
      <c r="N77" s="267"/>
      <c r="O77" s="267"/>
      <c r="P77" s="267"/>
      <c r="Q77" s="267"/>
    </row>
    <row r="78">
      <c r="A78" s="268">
        <v>160023</v>
      </c>
      <c r="B78" s="269">
        <v>2</v>
      </c>
      <c r="C78" s="270">
        <v>2</v>
      </c>
      <c r="D78" s="271">
        <f t="shared" si="8"/>
      </c>
      <c r="E78" s="272"/>
      <c r="F78" s="273">
        <f t="shared" si="2"/>
      </c>
      <c r="G78" s="274"/>
      <c r="H78" s="275">
        <f t="shared" si="6"/>
      </c>
      <c r="I78" s="267"/>
      <c r="J78" s="276"/>
      <c r="K78" s="267"/>
      <c r="L78" s="267"/>
      <c r="M78" s="267"/>
      <c r="N78" s="267"/>
      <c r="O78" s="267"/>
      <c r="P78" s="267"/>
      <c r="Q78" s="267"/>
    </row>
    <row r="79">
      <c r="A79" s="268">
        <v>240008</v>
      </c>
      <c r="B79" s="269">
        <v>2</v>
      </c>
      <c r="C79" s="270">
        <v>2</v>
      </c>
      <c r="D79" s="271">
        <f t="shared" si="8"/>
      </c>
      <c r="E79" s="284"/>
      <c r="F79" s="273">
        <f t="shared" si="2"/>
      </c>
      <c r="G79" s="274"/>
      <c r="H79" s="275">
        <f t="shared" si="6"/>
      </c>
      <c r="I79" s="267"/>
      <c r="J79" s="276"/>
      <c r="K79" s="267"/>
      <c r="L79" s="267"/>
      <c r="M79" s="267"/>
      <c r="N79" s="267"/>
      <c r="O79" s="267"/>
      <c r="P79" s="267"/>
      <c r="Q79" s="267"/>
    </row>
    <row r="80">
      <c r="A80" s="268">
        <v>240012</v>
      </c>
      <c r="B80" s="269">
        <v>2</v>
      </c>
      <c r="C80" s="270">
        <v>1</v>
      </c>
      <c r="D80" s="271">
        <f t="shared" si="8"/>
      </c>
      <c r="E80" s="272">
        <v>1</v>
      </c>
      <c r="F80" s="273">
        <f t="shared" si="2"/>
      </c>
      <c r="G80" s="274"/>
      <c r="H80" s="275">
        <f t="shared" si="6"/>
      </c>
      <c r="I80" s="267"/>
      <c r="J80" s="276"/>
      <c r="K80" s="267"/>
      <c r="L80" s="267"/>
      <c r="M80" s="267"/>
      <c r="N80" s="267"/>
      <c r="O80" s="267"/>
      <c r="P80" s="267"/>
      <c r="Q80" s="267"/>
    </row>
    <row r="81">
      <c r="A81" s="268">
        <v>260002</v>
      </c>
      <c r="B81" s="269">
        <v>2</v>
      </c>
      <c r="C81" s="270">
        <v>1</v>
      </c>
      <c r="D81" s="271">
        <f t="shared" si="8"/>
      </c>
      <c r="E81" s="284">
        <v>1</v>
      </c>
      <c r="F81" s="273">
        <f t="shared" si="2"/>
      </c>
      <c r="G81" s="274"/>
      <c r="H81" s="275">
        <f t="shared" si="6"/>
      </c>
      <c r="I81" s="267"/>
      <c r="J81" s="276"/>
      <c r="K81" s="267"/>
      <c r="L81" s="267"/>
      <c r="M81" s="267"/>
      <c r="N81" s="267"/>
      <c r="O81" s="267"/>
      <c r="P81" s="267"/>
      <c r="Q81" s="267"/>
    </row>
    <row r="82">
      <c r="A82" s="268">
        <v>260007</v>
      </c>
      <c r="B82" s="269">
        <v>2</v>
      </c>
      <c r="C82" s="270">
        <v>2</v>
      </c>
      <c r="D82" s="271">
        <f t="shared" si="8"/>
      </c>
      <c r="E82" s="272"/>
      <c r="F82" s="273">
        <f t="shared" si="2"/>
      </c>
      <c r="G82" s="274"/>
      <c r="H82" s="275">
        <f t="shared" si="6"/>
      </c>
      <c r="I82" s="267"/>
      <c r="J82" s="276"/>
      <c r="K82" s="267"/>
      <c r="L82" s="267"/>
      <c r="M82" s="267"/>
      <c r="N82" s="267"/>
      <c r="O82" s="267"/>
      <c r="P82" s="267"/>
      <c r="Q82" s="267"/>
    </row>
    <row r="83">
      <c r="A83" s="268">
        <v>290001</v>
      </c>
      <c r="B83" s="269">
        <v>2</v>
      </c>
      <c r="C83" s="270">
        <v>2</v>
      </c>
      <c r="D83" s="271">
        <f t="shared" si="8"/>
      </c>
      <c r="E83" s="272"/>
      <c r="F83" s="273">
        <f t="shared" si="2"/>
      </c>
      <c r="G83" s="274"/>
      <c r="H83" s="275">
        <f t="shared" si="6"/>
      </c>
      <c r="I83" s="267"/>
      <c r="J83" s="276"/>
      <c r="K83" s="267"/>
      <c r="L83" s="267"/>
      <c r="M83" s="267"/>
      <c r="N83" s="267"/>
      <c r="O83" s="267"/>
      <c r="P83" s="267"/>
      <c r="Q83" s="267"/>
    </row>
    <row r="84">
      <c r="A84" s="268">
        <v>1100005</v>
      </c>
      <c r="B84" s="269">
        <v>2</v>
      </c>
      <c r="C84" s="270"/>
      <c r="D84" s="271">
        <f t="shared" si="8"/>
      </c>
      <c r="E84" s="272">
        <v>2</v>
      </c>
      <c r="F84" s="273"/>
      <c r="G84" s="285"/>
      <c r="H84" s="275"/>
      <c r="I84" s="267"/>
      <c r="J84" s="276"/>
      <c r="K84" s="267"/>
      <c r="L84" s="267"/>
      <c r="M84" s="267"/>
      <c r="N84" s="267"/>
      <c r="O84" s="267"/>
      <c r="P84" s="267"/>
      <c r="Q84" s="267"/>
    </row>
    <row r="85">
      <c r="A85" s="268">
        <v>60004</v>
      </c>
      <c r="B85" s="269">
        <v>1</v>
      </c>
      <c r="C85" s="270">
        <v>1</v>
      </c>
      <c r="D85" s="271">
        <f t="shared" si="8"/>
      </c>
      <c r="E85" s="272"/>
      <c r="F85" s="273">
        <f t="shared" ref="F85:F90" si="3">E85/B85</f>
      </c>
      <c r="G85" s="274"/>
      <c r="H85" s="275">
        <f t="shared" ref="H85:H90" si="7">G85/B85</f>
      </c>
      <c r="I85" s="267"/>
      <c r="J85" s="276"/>
      <c r="K85" s="267"/>
      <c r="L85" s="267"/>
      <c r="M85" s="267"/>
      <c r="N85" s="267"/>
      <c r="O85" s="267"/>
      <c r="P85" s="267"/>
      <c r="Q85" s="267"/>
    </row>
    <row r="86">
      <c r="A86" s="268">
        <v>60005</v>
      </c>
      <c r="B86" s="269">
        <v>1</v>
      </c>
      <c r="C86" s="270">
        <v>1</v>
      </c>
      <c r="D86" s="271">
        <f t="shared" si="8"/>
      </c>
      <c r="E86" s="272"/>
      <c r="F86" s="273">
        <f t="shared" si="3"/>
      </c>
      <c r="G86" s="274"/>
      <c r="H86" s="275">
        <f t="shared" si="7"/>
      </c>
      <c r="I86" s="267"/>
      <c r="J86" s="276"/>
      <c r="K86" s="267"/>
      <c r="L86" s="267"/>
      <c r="M86" s="267"/>
      <c r="N86" s="267"/>
      <c r="O86" s="267"/>
      <c r="P86" s="267"/>
      <c r="Q86" s="267"/>
    </row>
    <row r="87">
      <c r="A87" s="268">
        <v>110000</v>
      </c>
      <c r="B87" s="269">
        <v>1</v>
      </c>
      <c r="C87" s="270">
        <v>1</v>
      </c>
      <c r="D87" s="271">
        <f t="shared" si="8"/>
      </c>
      <c r="E87" s="272"/>
      <c r="F87" s="273">
        <f t="shared" si="3"/>
      </c>
      <c r="G87" s="274"/>
      <c r="H87" s="275">
        <f t="shared" si="7"/>
      </c>
      <c r="I87" s="267"/>
      <c r="J87" s="276"/>
      <c r="K87" s="267"/>
      <c r="L87" s="267"/>
      <c r="M87" s="267"/>
      <c r="N87" s="267"/>
      <c r="O87" s="267"/>
      <c r="P87" s="267"/>
      <c r="Q87" s="267"/>
    </row>
    <row r="88">
      <c r="A88" s="268">
        <v>150005</v>
      </c>
      <c r="B88" s="269">
        <v>1</v>
      </c>
      <c r="C88" s="270">
        <v>1</v>
      </c>
      <c r="D88" s="271">
        <f t="shared" si="8"/>
      </c>
      <c r="E88" s="284"/>
      <c r="F88" s="273">
        <f t="shared" si="3"/>
      </c>
      <c r="G88" s="274"/>
      <c r="H88" s="275">
        <f t="shared" si="7"/>
      </c>
      <c r="I88" s="267"/>
      <c r="J88" s="267"/>
      <c r="K88" s="267"/>
      <c r="L88" s="267"/>
      <c r="M88" s="267"/>
      <c r="N88" s="267"/>
      <c r="O88" s="267"/>
      <c r="P88" s="267"/>
      <c r="Q88" s="267"/>
    </row>
    <row r="89">
      <c r="A89" s="268">
        <v>190001</v>
      </c>
      <c r="B89" s="269">
        <v>1</v>
      </c>
      <c r="C89" s="270"/>
      <c r="D89" s="271">
        <f t="shared" si="8"/>
      </c>
      <c r="E89" s="284">
        <v>1</v>
      </c>
      <c r="F89" s="273">
        <f t="shared" si="3"/>
      </c>
      <c r="G89" s="274"/>
      <c r="H89" s="275">
        <f t="shared" si="7"/>
      </c>
      <c r="I89" s="267"/>
      <c r="J89" s="267"/>
      <c r="K89" s="267"/>
      <c r="L89" s="267"/>
      <c r="M89" s="267"/>
      <c r="N89" s="267"/>
      <c r="O89" s="267"/>
      <c r="P89" s="267"/>
      <c r="Q89" s="267"/>
    </row>
    <row r="90">
      <c r="A90" s="268">
        <v>300000</v>
      </c>
      <c r="B90" s="269">
        <v>1</v>
      </c>
      <c r="C90" s="270">
        <v>1</v>
      </c>
      <c r="D90" s="271">
        <f t="shared" si="8"/>
      </c>
      <c r="E90" s="272"/>
      <c r="F90" s="273">
        <f t="shared" si="3"/>
      </c>
      <c r="G90" s="274"/>
      <c r="H90" s="275">
        <f t="shared" si="7"/>
      </c>
      <c r="I90" s="267"/>
      <c r="J90" s="267"/>
      <c r="K90" s="267"/>
      <c r="L90" s="267"/>
      <c r="M90" s="267"/>
      <c r="N90" s="267"/>
      <c r="O90" s="267"/>
      <c r="P90" s="267"/>
      <c r="Q90" s="267"/>
    </row>
    <row r="91">
      <c r="A91" s="267"/>
      <c r="B91" s="286"/>
      <c r="C91" s="287"/>
      <c r="D91" s="288"/>
      <c r="E91" s="289"/>
      <c r="F91" s="290"/>
      <c r="G91" s="291"/>
      <c r="H91" s="292"/>
      <c r="I91" s="267"/>
      <c r="J91" s="267"/>
      <c r="K91" s="267"/>
      <c r="L91" s="267"/>
      <c r="M91" s="267"/>
      <c r="N91" s="267"/>
      <c r="O91" s="267"/>
      <c r="P91" s="267"/>
      <c r="Q91" s="267"/>
    </row>
    <row r="92">
      <c r="A92" s="267"/>
      <c r="B92" s="286"/>
      <c r="C92" s="287"/>
      <c r="D92" s="288"/>
      <c r="E92" s="289"/>
      <c r="F92" s="290"/>
      <c r="G92" s="291"/>
      <c r="H92" s="292"/>
      <c r="I92" s="267"/>
      <c r="J92" s="267"/>
      <c r="K92" s="267"/>
      <c r="L92" s="267"/>
      <c r="M92" s="267"/>
      <c r="N92" s="267"/>
      <c r="O92" s="267"/>
      <c r="P92" s="267"/>
      <c r="Q92" s="267"/>
    </row>
    <row r="93">
      <c r="A93" s="267"/>
      <c r="B93" s="286"/>
      <c r="C93" s="287"/>
      <c r="D93" s="288"/>
      <c r="E93" s="289"/>
      <c r="F93" s="290"/>
      <c r="G93" s="291"/>
      <c r="H93" s="292"/>
      <c r="I93" s="267"/>
      <c r="J93" s="267"/>
      <c r="K93" s="267"/>
      <c r="L93" s="267"/>
      <c r="M93" s="267"/>
      <c r="N93" s="267"/>
      <c r="O93" s="267"/>
      <c r="P93" s="267"/>
      <c r="Q93" s="267"/>
    </row>
    <row r="94">
      <c r="A94" s="267"/>
      <c r="B94" s="286"/>
      <c r="C94" s="287"/>
      <c r="D94" s="288"/>
      <c r="E94" s="289"/>
      <c r="F94" s="290"/>
      <c r="G94" s="291"/>
      <c r="H94" s="292"/>
      <c r="I94" s="267"/>
      <c r="J94" s="267"/>
      <c r="K94" s="267"/>
      <c r="L94" s="267"/>
      <c r="M94" s="267"/>
      <c r="N94" s="267"/>
      <c r="O94" s="267"/>
      <c r="P94" s="267"/>
      <c r="Q94" s="267"/>
    </row>
    <row r="95">
      <c r="A95" s="267"/>
      <c r="B95" s="286"/>
      <c r="C95" s="287"/>
      <c r="D95" s="288"/>
      <c r="E95" s="289"/>
      <c r="F95" s="290"/>
      <c r="G95" s="291"/>
      <c r="H95" s="292"/>
      <c r="I95" s="267"/>
      <c r="J95" s="267"/>
      <c r="K95" s="267"/>
      <c r="L95" s="267"/>
      <c r="M95" s="267"/>
      <c r="N95" s="267"/>
      <c r="O95" s="267"/>
      <c r="P95" s="267"/>
      <c r="Q95" s="267"/>
    </row>
    <row r="96">
      <c r="A96" s="267"/>
      <c r="B96" s="286"/>
      <c r="C96" s="287"/>
      <c r="D96" s="288"/>
      <c r="E96" s="289"/>
      <c r="F96" s="290"/>
      <c r="G96" s="291"/>
      <c r="H96" s="292"/>
      <c r="I96" s="267"/>
      <c r="J96" s="267"/>
      <c r="K96" s="267"/>
      <c r="L96" s="267"/>
      <c r="M96" s="267"/>
      <c r="N96" s="267"/>
      <c r="O96" s="267"/>
      <c r="P96" s="267"/>
      <c r="Q96" s="267"/>
    </row>
    <row r="97">
      <c r="A97" s="267"/>
      <c r="B97" s="286"/>
      <c r="C97" s="287"/>
      <c r="D97" s="288"/>
      <c r="E97" s="289"/>
      <c r="F97" s="290"/>
      <c r="G97" s="291"/>
      <c r="H97" s="292"/>
      <c r="I97" s="267"/>
      <c r="J97" s="267"/>
      <c r="K97" s="267"/>
      <c r="L97" s="267"/>
      <c r="M97" s="267"/>
      <c r="N97" s="267"/>
      <c r="O97" s="267"/>
      <c r="P97" s="267"/>
      <c r="Q97" s="267"/>
    </row>
    <row r="98">
      <c r="A98" s="267"/>
      <c r="B98" s="286"/>
      <c r="C98" s="287"/>
      <c r="D98" s="288"/>
      <c r="E98" s="289"/>
      <c r="F98" s="290"/>
      <c r="G98" s="291"/>
      <c r="H98" s="292"/>
      <c r="I98" s="267"/>
      <c r="J98" s="267"/>
      <c r="K98" s="267"/>
      <c r="L98" s="267"/>
      <c r="M98" s="267"/>
      <c r="N98" s="267"/>
      <c r="O98" s="267"/>
      <c r="P98" s="267"/>
      <c r="Q98" s="267"/>
    </row>
    <row r="99">
      <c r="A99" s="267"/>
      <c r="B99" s="286"/>
      <c r="C99" s="287"/>
      <c r="D99" s="288"/>
      <c r="E99" s="289"/>
      <c r="F99" s="290"/>
      <c r="G99" s="291"/>
      <c r="H99" s="292"/>
      <c r="I99" s="267"/>
      <c r="J99" s="267"/>
      <c r="K99" s="267"/>
      <c r="L99" s="267"/>
      <c r="M99" s="267"/>
      <c r="N99" s="267"/>
      <c r="O99" s="267"/>
      <c r="P99" s="267"/>
      <c r="Q99" s="267"/>
    </row>
    <row r="100">
      <c r="A100" s="267"/>
      <c r="B100" s="286"/>
      <c r="C100" s="287"/>
      <c r="D100" s="288"/>
      <c r="E100" s="289"/>
      <c r="F100" s="290"/>
      <c r="G100" s="291"/>
      <c r="H100" s="292"/>
      <c r="I100" s="267"/>
      <c r="J100" s="267"/>
      <c r="K100" s="267"/>
      <c r="L100" s="267"/>
      <c r="M100" s="267"/>
      <c r="N100" s="267"/>
      <c r="O100" s="267"/>
      <c r="P100" s="267"/>
      <c r="Q100" s="267"/>
    </row>
    <row r="101">
      <c r="A101" s="267"/>
      <c r="B101" s="286"/>
      <c r="C101" s="287"/>
      <c r="D101" s="288"/>
      <c r="E101" s="289"/>
      <c r="F101" s="290"/>
      <c r="G101" s="291"/>
      <c r="H101" s="292"/>
      <c r="I101" s="267"/>
      <c r="J101" s="267"/>
      <c r="K101" s="267"/>
      <c r="L101" s="267"/>
      <c r="M101" s="267"/>
      <c r="N101" s="267"/>
      <c r="O101" s="267"/>
      <c r="P101" s="267"/>
      <c r="Q101" s="267"/>
    </row>
    <row r="102">
      <c r="A102" s="267"/>
      <c r="B102" s="286"/>
      <c r="C102" s="287"/>
      <c r="D102" s="288"/>
      <c r="E102" s="289"/>
      <c r="F102" s="290"/>
      <c r="G102" s="291"/>
      <c r="H102" s="292"/>
      <c r="I102" s="267"/>
      <c r="J102" s="267"/>
      <c r="K102" s="267"/>
      <c r="L102" s="267"/>
      <c r="M102" s="267"/>
      <c r="N102" s="267"/>
      <c r="O102" s="267"/>
      <c r="P102" s="267"/>
      <c r="Q102" s="267"/>
    </row>
    <row r="103">
      <c r="A103" s="267"/>
      <c r="B103" s="286"/>
      <c r="C103" s="287"/>
      <c r="D103" s="288"/>
      <c r="E103" s="289"/>
      <c r="F103" s="290"/>
      <c r="G103" s="291"/>
      <c r="H103" s="292"/>
      <c r="I103" s="267"/>
      <c r="J103" s="267"/>
      <c r="K103" s="267"/>
      <c r="L103" s="267"/>
      <c r="M103" s="267"/>
      <c r="N103" s="267"/>
      <c r="O103" s="267"/>
      <c r="P103" s="267"/>
      <c r="Q103" s="267"/>
    </row>
    <row r="104">
      <c r="A104" s="267"/>
      <c r="B104" s="286"/>
      <c r="C104" s="287"/>
      <c r="D104" s="288"/>
      <c r="E104" s="289"/>
      <c r="F104" s="290"/>
      <c r="G104" s="291"/>
      <c r="H104" s="292"/>
      <c r="I104" s="267"/>
      <c r="J104" s="267"/>
      <c r="K104" s="267"/>
      <c r="L104" s="267"/>
      <c r="M104" s="267"/>
      <c r="N104" s="267"/>
      <c r="O104" s="267"/>
      <c r="P104" s="267"/>
      <c r="Q104" s="267"/>
    </row>
    <row r="105">
      <c r="A105" s="267"/>
      <c r="B105" s="286"/>
      <c r="C105" s="287"/>
      <c r="D105" s="288"/>
      <c r="E105" s="289"/>
      <c r="F105" s="290"/>
      <c r="G105" s="291"/>
      <c r="H105" s="292"/>
      <c r="I105" s="267"/>
      <c r="J105" s="267"/>
      <c r="K105" s="267"/>
      <c r="L105" s="267"/>
      <c r="M105" s="267"/>
      <c r="N105" s="267"/>
      <c r="O105" s="267"/>
      <c r="P105" s="267"/>
      <c r="Q105" s="267"/>
    </row>
    <row r="106">
      <c r="A106" s="267"/>
      <c r="B106" s="286"/>
      <c r="C106" s="287"/>
      <c r="D106" s="288"/>
      <c r="E106" s="289"/>
      <c r="F106" s="290"/>
      <c r="G106" s="291"/>
      <c r="H106" s="292"/>
      <c r="I106" s="267"/>
      <c r="J106" s="267"/>
      <c r="K106" s="267"/>
      <c r="L106" s="267"/>
      <c r="M106" s="267"/>
      <c r="N106" s="267"/>
      <c r="O106" s="267"/>
      <c r="P106" s="267"/>
      <c r="Q106" s="267"/>
    </row>
    <row r="107">
      <c r="A107" s="267"/>
      <c r="B107" s="286"/>
      <c r="C107" s="287"/>
      <c r="D107" s="288"/>
      <c r="E107" s="289"/>
      <c r="F107" s="290"/>
      <c r="G107" s="291"/>
      <c r="H107" s="292"/>
      <c r="I107" s="267"/>
      <c r="J107" s="267"/>
      <c r="K107" s="267"/>
      <c r="L107" s="267"/>
      <c r="M107" s="267"/>
      <c r="N107" s="267"/>
      <c r="O107" s="267"/>
      <c r="P107" s="267"/>
      <c r="Q107" s="267"/>
    </row>
    <row r="108">
      <c r="A108" s="267"/>
      <c r="B108" s="286"/>
      <c r="C108" s="287"/>
      <c r="D108" s="288"/>
      <c r="E108" s="289"/>
      <c r="F108" s="290"/>
      <c r="G108" s="291"/>
      <c r="H108" s="292"/>
      <c r="I108" s="267"/>
      <c r="J108" s="267"/>
      <c r="K108" s="267"/>
      <c r="L108" s="267"/>
      <c r="M108" s="267"/>
      <c r="N108" s="267"/>
      <c r="O108" s="267"/>
      <c r="P108" s="267"/>
      <c r="Q108" s="267"/>
    </row>
    <row r="109">
      <c r="A109" s="267"/>
      <c r="B109" s="286"/>
      <c r="C109" s="287"/>
      <c r="D109" s="288"/>
      <c r="E109" s="289"/>
      <c r="F109" s="290"/>
      <c r="G109" s="291"/>
      <c r="H109" s="292"/>
      <c r="I109" s="267"/>
      <c r="J109" s="267"/>
      <c r="K109" s="267"/>
      <c r="L109" s="267"/>
      <c r="M109" s="267"/>
      <c r="N109" s="267"/>
      <c r="O109" s="267"/>
      <c r="P109" s="267"/>
      <c r="Q109" s="267"/>
    </row>
    <row r="110">
      <c r="A110" s="267"/>
      <c r="B110" s="286"/>
      <c r="C110" s="287"/>
      <c r="D110" s="288"/>
      <c r="E110" s="289"/>
      <c r="F110" s="290"/>
      <c r="G110" s="291"/>
      <c r="H110" s="292"/>
      <c r="I110" s="267"/>
      <c r="J110" s="267"/>
      <c r="K110" s="267"/>
      <c r="L110" s="267"/>
      <c r="M110" s="267"/>
      <c r="N110" s="267"/>
      <c r="O110" s="267"/>
      <c r="P110" s="267"/>
      <c r="Q110" s="267"/>
    </row>
    <row r="111">
      <c r="A111" s="267"/>
      <c r="B111" s="286"/>
      <c r="C111" s="287"/>
      <c r="D111" s="288"/>
      <c r="E111" s="289"/>
      <c r="F111" s="290"/>
      <c r="G111" s="291"/>
      <c r="H111" s="292"/>
      <c r="I111" s="267"/>
      <c r="J111" s="267"/>
      <c r="K111" s="267"/>
      <c r="L111" s="267"/>
      <c r="M111" s="267"/>
      <c r="N111" s="267"/>
      <c r="O111" s="267"/>
      <c r="P111" s="267"/>
      <c r="Q111" s="267"/>
    </row>
    <row r="112">
      <c r="A112" s="267"/>
      <c r="B112" s="286"/>
      <c r="C112" s="287"/>
      <c r="D112" s="288"/>
      <c r="E112" s="289"/>
      <c r="F112" s="290"/>
      <c r="G112" s="291"/>
      <c r="H112" s="292"/>
      <c r="I112" s="267"/>
      <c r="J112" s="267"/>
      <c r="K112" s="267"/>
      <c r="L112" s="267"/>
      <c r="M112" s="267"/>
      <c r="N112" s="267"/>
      <c r="O112" s="267"/>
      <c r="P112" s="267"/>
      <c r="Q112" s="267"/>
    </row>
    <row r="113">
      <c r="A113" s="267"/>
      <c r="B113" s="286"/>
      <c r="C113" s="287"/>
      <c r="D113" s="288"/>
      <c r="E113" s="289"/>
      <c r="F113" s="290"/>
      <c r="G113" s="291"/>
      <c r="H113" s="292"/>
      <c r="I113" s="267"/>
      <c r="J113" s="267"/>
      <c r="K113" s="267"/>
      <c r="L113" s="267"/>
      <c r="M113" s="267"/>
      <c r="N113" s="267"/>
      <c r="O113" s="267"/>
      <c r="P113" s="267"/>
      <c r="Q113" s="267"/>
    </row>
    <row r="114">
      <c r="A114" s="267"/>
      <c r="B114" s="286"/>
      <c r="C114" s="287"/>
      <c r="D114" s="288"/>
      <c r="E114" s="289"/>
      <c r="F114" s="290"/>
      <c r="G114" s="291"/>
      <c r="H114" s="292"/>
      <c r="I114" s="267"/>
      <c r="J114" s="267"/>
      <c r="K114" s="267"/>
      <c r="L114" s="267"/>
      <c r="M114" s="267"/>
      <c r="N114" s="267"/>
      <c r="O114" s="267"/>
      <c r="P114" s="267"/>
      <c r="Q114" s="267"/>
    </row>
    <row r="115">
      <c r="A115" s="267"/>
      <c r="B115" s="286"/>
      <c r="C115" s="287"/>
      <c r="D115" s="288"/>
      <c r="E115" s="289"/>
      <c r="F115" s="290"/>
      <c r="G115" s="291"/>
      <c r="H115" s="292"/>
      <c r="I115" s="267"/>
      <c r="J115" s="267"/>
      <c r="K115" s="267"/>
      <c r="L115" s="267"/>
      <c r="M115" s="267"/>
      <c r="N115" s="267"/>
      <c r="O115" s="267"/>
      <c r="P115" s="267"/>
      <c r="Q115" s="267"/>
    </row>
    <row r="116">
      <c r="A116" s="267"/>
      <c r="B116" s="286"/>
      <c r="C116" s="287"/>
      <c r="D116" s="288"/>
      <c r="E116" s="289"/>
      <c r="F116" s="290"/>
      <c r="G116" s="291"/>
      <c r="H116" s="292"/>
      <c r="I116" s="267"/>
      <c r="J116" s="267"/>
      <c r="K116" s="267"/>
      <c r="L116" s="267"/>
      <c r="M116" s="267"/>
      <c r="N116" s="267"/>
      <c r="O116" s="267"/>
      <c r="P116" s="267"/>
      <c r="Q116" s="267"/>
    </row>
    <row r="117">
      <c r="A117" s="267"/>
      <c r="B117" s="286"/>
      <c r="C117" s="287"/>
      <c r="D117" s="288"/>
      <c r="E117" s="289"/>
      <c r="F117" s="290"/>
      <c r="G117" s="291"/>
      <c r="H117" s="292"/>
      <c r="I117" s="267"/>
      <c r="J117" s="267"/>
      <c r="K117" s="267"/>
      <c r="L117" s="267"/>
      <c r="M117" s="267"/>
      <c r="N117" s="267"/>
      <c r="O117" s="267"/>
      <c r="P117" s="267"/>
      <c r="Q117" s="267"/>
    </row>
    <row r="118">
      <c r="A118" s="267"/>
      <c r="B118" s="286"/>
      <c r="C118" s="287"/>
      <c r="D118" s="288"/>
      <c r="E118" s="289"/>
      <c r="F118" s="290"/>
      <c r="G118" s="291"/>
      <c r="H118" s="292"/>
      <c r="I118" s="267"/>
      <c r="J118" s="267"/>
      <c r="K118" s="267"/>
      <c r="L118" s="267"/>
      <c r="M118" s="267"/>
      <c r="N118" s="267"/>
      <c r="O118" s="267"/>
      <c r="P118" s="267"/>
      <c r="Q118" s="267"/>
    </row>
    <row r="119">
      <c r="A119" s="267"/>
      <c r="B119" s="286"/>
      <c r="C119" s="287"/>
      <c r="D119" s="288"/>
      <c r="E119" s="289"/>
      <c r="F119" s="290"/>
      <c r="G119" s="291"/>
      <c r="H119" s="292"/>
      <c r="I119" s="267"/>
      <c r="J119" s="267"/>
      <c r="K119" s="267"/>
      <c r="L119" s="267"/>
      <c r="M119" s="267"/>
      <c r="N119" s="267"/>
      <c r="O119" s="267"/>
      <c r="P119" s="267"/>
      <c r="Q119" s="267"/>
    </row>
    <row r="120">
      <c r="A120" s="267"/>
      <c r="B120" s="286"/>
      <c r="C120" s="287"/>
      <c r="D120" s="288"/>
      <c r="E120" s="289"/>
      <c r="F120" s="290"/>
      <c r="G120" s="291"/>
      <c r="H120" s="292"/>
      <c r="I120" s="267"/>
      <c r="J120" s="267"/>
      <c r="K120" s="267"/>
      <c r="L120" s="267"/>
      <c r="M120" s="267"/>
      <c r="N120" s="267"/>
      <c r="O120" s="267"/>
      <c r="P120" s="267"/>
      <c r="Q120" s="267"/>
    </row>
    <row r="121">
      <c r="A121" s="267"/>
      <c r="B121" s="286"/>
      <c r="C121" s="287"/>
      <c r="D121" s="288"/>
      <c r="E121" s="289"/>
      <c r="F121" s="290"/>
      <c r="G121" s="291"/>
      <c r="H121" s="292"/>
      <c r="I121" s="267"/>
      <c r="J121" s="267"/>
      <c r="K121" s="267"/>
      <c r="L121" s="267"/>
      <c r="M121" s="267"/>
      <c r="N121" s="267"/>
      <c r="O121" s="267"/>
      <c r="P121" s="267"/>
      <c r="Q121" s="267"/>
    </row>
    <row r="122">
      <c r="A122" s="267"/>
      <c r="B122" s="286"/>
      <c r="C122" s="287"/>
      <c r="D122" s="288"/>
      <c r="E122" s="289"/>
      <c r="F122" s="290"/>
      <c r="G122" s="291"/>
      <c r="H122" s="292"/>
      <c r="I122" s="267"/>
      <c r="J122" s="267"/>
      <c r="K122" s="267"/>
      <c r="L122" s="267"/>
      <c r="M122" s="267"/>
      <c r="N122" s="267"/>
      <c r="O122" s="267"/>
      <c r="P122" s="267"/>
      <c r="Q122" s="267"/>
    </row>
    <row r="123">
      <c r="A123" s="267"/>
      <c r="B123" s="286"/>
      <c r="C123" s="287"/>
      <c r="D123" s="288"/>
      <c r="E123" s="289"/>
      <c r="F123" s="290"/>
      <c r="G123" s="291"/>
      <c r="H123" s="292"/>
      <c r="I123" s="267"/>
      <c r="J123" s="267"/>
      <c r="K123" s="267"/>
      <c r="L123" s="267"/>
      <c r="M123" s="267"/>
      <c r="N123" s="267"/>
      <c r="O123" s="267"/>
      <c r="P123" s="267"/>
      <c r="Q123" s="267"/>
    </row>
    <row r="124">
      <c r="A124" s="267"/>
      <c r="B124" s="286"/>
      <c r="C124" s="287"/>
      <c r="D124" s="288"/>
      <c r="E124" s="289"/>
      <c r="F124" s="290"/>
      <c r="G124" s="291"/>
      <c r="H124" s="292"/>
      <c r="I124" s="267"/>
      <c r="J124" s="267"/>
      <c r="K124" s="267"/>
      <c r="L124" s="267"/>
      <c r="M124" s="267"/>
      <c r="N124" s="267"/>
      <c r="O124" s="267"/>
      <c r="P124" s="267"/>
      <c r="Q124" s="267"/>
    </row>
    <row r="125">
      <c r="A125" s="267"/>
      <c r="B125" s="286"/>
      <c r="C125" s="287"/>
      <c r="D125" s="288"/>
      <c r="E125" s="289"/>
      <c r="F125" s="290"/>
      <c r="G125" s="291"/>
      <c r="H125" s="292"/>
      <c r="I125" s="267"/>
      <c r="J125" s="267"/>
      <c r="K125" s="267"/>
      <c r="L125" s="267"/>
      <c r="M125" s="267"/>
      <c r="N125" s="267"/>
      <c r="O125" s="267"/>
      <c r="P125" s="267"/>
      <c r="Q125" s="267"/>
    </row>
    <row r="126">
      <c r="A126" s="267"/>
      <c r="B126" s="286"/>
      <c r="C126" s="287"/>
      <c r="D126" s="288"/>
      <c r="E126" s="289"/>
      <c r="F126" s="290"/>
      <c r="G126" s="291"/>
      <c r="H126" s="292"/>
      <c r="I126" s="267"/>
      <c r="J126" s="267"/>
      <c r="K126" s="267"/>
      <c r="L126" s="267"/>
      <c r="M126" s="267"/>
      <c r="N126" s="267"/>
      <c r="O126" s="267"/>
      <c r="P126" s="267"/>
      <c r="Q126" s="267"/>
    </row>
    <row r="127">
      <c r="A127" s="267"/>
      <c r="B127" s="286"/>
      <c r="C127" s="287"/>
      <c r="D127" s="288"/>
      <c r="E127" s="289"/>
      <c r="F127" s="290"/>
      <c r="G127" s="291"/>
      <c r="H127" s="292"/>
      <c r="I127" s="267"/>
      <c r="J127" s="267"/>
      <c r="K127" s="267"/>
      <c r="L127" s="267"/>
      <c r="M127" s="267"/>
      <c r="N127" s="267"/>
      <c r="O127" s="267"/>
      <c r="P127" s="267"/>
      <c r="Q127" s="267"/>
    </row>
    <row r="128">
      <c r="A128" s="267"/>
      <c r="B128" s="286"/>
      <c r="C128" s="287"/>
      <c r="D128" s="288"/>
      <c r="E128" s="289"/>
      <c r="F128" s="290"/>
      <c r="G128" s="291"/>
      <c r="H128" s="292"/>
      <c r="I128" s="267"/>
      <c r="J128" s="267"/>
      <c r="K128" s="267"/>
      <c r="L128" s="267"/>
      <c r="M128" s="267"/>
      <c r="N128" s="267"/>
      <c r="O128" s="267"/>
      <c r="P128" s="267"/>
      <c r="Q128" s="267"/>
    </row>
    <row r="129">
      <c r="A129" s="267"/>
      <c r="B129" s="286"/>
      <c r="C129" s="287"/>
      <c r="D129" s="288"/>
      <c r="E129" s="289"/>
      <c r="F129" s="290"/>
      <c r="G129" s="291"/>
      <c r="H129" s="292"/>
      <c r="I129" s="267"/>
      <c r="J129" s="267"/>
      <c r="K129" s="267"/>
      <c r="L129" s="267"/>
      <c r="M129" s="267"/>
      <c r="N129" s="267"/>
      <c r="O129" s="267"/>
      <c r="P129" s="267"/>
      <c r="Q129" s="267"/>
    </row>
    <row r="130">
      <c r="A130" s="267"/>
      <c r="B130" s="286"/>
      <c r="C130" s="287"/>
      <c r="D130" s="288"/>
      <c r="E130" s="289"/>
      <c r="F130" s="290"/>
      <c r="G130" s="291"/>
      <c r="H130" s="292"/>
      <c r="I130" s="267"/>
      <c r="J130" s="267"/>
      <c r="K130" s="267"/>
      <c r="L130" s="267"/>
      <c r="M130" s="267"/>
      <c r="N130" s="267"/>
      <c r="O130" s="267"/>
      <c r="P130" s="267"/>
      <c r="Q130" s="267"/>
    </row>
    <row r="131">
      <c r="A131" s="267"/>
      <c r="B131" s="286"/>
      <c r="C131" s="287"/>
      <c r="D131" s="288"/>
      <c r="E131" s="289"/>
      <c r="F131" s="290"/>
      <c r="G131" s="291"/>
      <c r="H131" s="292"/>
      <c r="I131" s="267"/>
      <c r="J131" s="267"/>
      <c r="K131" s="267"/>
      <c r="L131" s="267"/>
      <c r="M131" s="267"/>
      <c r="N131" s="267"/>
      <c r="O131" s="267"/>
      <c r="P131" s="267"/>
      <c r="Q131" s="267"/>
    </row>
    <row r="132">
      <c r="A132" s="267"/>
      <c r="B132" s="286"/>
      <c r="C132" s="287"/>
      <c r="D132" s="288"/>
      <c r="E132" s="289"/>
      <c r="F132" s="290"/>
      <c r="G132" s="291"/>
      <c r="H132" s="292"/>
      <c r="I132" s="267"/>
      <c r="J132" s="267"/>
      <c r="K132" s="267"/>
      <c r="L132" s="267"/>
      <c r="M132" s="267"/>
      <c r="N132" s="267"/>
      <c r="O132" s="267"/>
      <c r="P132" s="267"/>
      <c r="Q132" s="267"/>
    </row>
    <row r="133">
      <c r="A133" s="267"/>
      <c r="B133" s="286"/>
      <c r="C133" s="287"/>
      <c r="D133" s="288"/>
      <c r="E133" s="289"/>
      <c r="F133" s="290"/>
      <c r="G133" s="291"/>
      <c r="H133" s="292"/>
      <c r="I133" s="267"/>
      <c r="J133" s="267"/>
      <c r="K133" s="267"/>
      <c r="L133" s="267"/>
      <c r="M133" s="267"/>
      <c r="N133" s="267"/>
      <c r="O133" s="267"/>
      <c r="P133" s="267"/>
      <c r="Q133" s="267"/>
    </row>
    <row r="134">
      <c r="A134" s="267"/>
      <c r="B134" s="286"/>
      <c r="C134" s="287"/>
      <c r="D134" s="288"/>
      <c r="E134" s="289"/>
      <c r="F134" s="290"/>
      <c r="G134" s="291"/>
      <c r="H134" s="292"/>
      <c r="I134" s="267"/>
      <c r="J134" s="267"/>
      <c r="K134" s="267"/>
      <c r="L134" s="267"/>
      <c r="M134" s="267"/>
      <c r="N134" s="267"/>
      <c r="O134" s="267"/>
      <c r="P134" s="267"/>
      <c r="Q134" s="267"/>
    </row>
    <row r="135">
      <c r="A135" s="267"/>
      <c r="B135" s="286"/>
      <c r="C135" s="287"/>
      <c r="D135" s="288"/>
      <c r="E135" s="289"/>
      <c r="F135" s="290"/>
      <c r="G135" s="291"/>
      <c r="H135" s="292"/>
      <c r="I135" s="267"/>
      <c r="J135" s="267"/>
      <c r="K135" s="267"/>
      <c r="L135" s="267"/>
      <c r="M135" s="267"/>
      <c r="N135" s="267"/>
      <c r="O135" s="267"/>
      <c r="P135" s="267"/>
      <c r="Q135" s="267"/>
    </row>
    <row r="136">
      <c r="A136" s="267"/>
      <c r="B136" s="286"/>
      <c r="C136" s="287"/>
      <c r="D136" s="288"/>
      <c r="E136" s="289"/>
      <c r="F136" s="290"/>
      <c r="G136" s="291"/>
      <c r="H136" s="292"/>
      <c r="I136" s="267"/>
      <c r="J136" s="267"/>
      <c r="K136" s="267"/>
      <c r="L136" s="267"/>
      <c r="M136" s="267"/>
      <c r="N136" s="267"/>
      <c r="O136" s="267"/>
      <c r="P136" s="267"/>
      <c r="Q136" s="267"/>
    </row>
    <row r="137">
      <c r="A137" s="267"/>
      <c r="B137" s="286"/>
      <c r="C137" s="287"/>
      <c r="D137" s="288"/>
      <c r="E137" s="289"/>
      <c r="F137" s="290"/>
      <c r="G137" s="291"/>
      <c r="H137" s="292"/>
      <c r="I137" s="267"/>
      <c r="J137" s="267"/>
      <c r="K137" s="267"/>
      <c r="L137" s="267"/>
      <c r="M137" s="267"/>
      <c r="N137" s="267"/>
      <c r="O137" s="267"/>
      <c r="P137" s="267"/>
      <c r="Q137" s="267"/>
    </row>
    <row r="138">
      <c r="A138" s="267"/>
      <c r="B138" s="286"/>
      <c r="C138" s="287"/>
      <c r="D138" s="288"/>
      <c r="E138" s="289"/>
      <c r="F138" s="290"/>
      <c r="G138" s="291"/>
      <c r="H138" s="292"/>
      <c r="I138" s="267"/>
      <c r="J138" s="267"/>
      <c r="K138" s="267"/>
      <c r="L138" s="267"/>
      <c r="M138" s="267"/>
      <c r="N138" s="267"/>
      <c r="O138" s="267"/>
      <c r="P138" s="267"/>
      <c r="Q138" s="267"/>
    </row>
    <row r="139">
      <c r="A139" s="267"/>
      <c r="B139" s="286"/>
      <c r="C139" s="287"/>
      <c r="D139" s="288"/>
      <c r="E139" s="289"/>
      <c r="F139" s="290"/>
      <c r="G139" s="291"/>
      <c r="H139" s="292"/>
      <c r="I139" s="267"/>
      <c r="J139" s="267"/>
      <c r="K139" s="267"/>
      <c r="L139" s="267"/>
      <c r="M139" s="267"/>
      <c r="N139" s="267"/>
      <c r="O139" s="267"/>
      <c r="P139" s="267"/>
      <c r="Q139" s="267"/>
    </row>
    <row r="140">
      <c r="A140" s="267"/>
      <c r="B140" s="286"/>
      <c r="C140" s="287"/>
      <c r="D140" s="288"/>
      <c r="E140" s="289"/>
      <c r="F140" s="290"/>
      <c r="G140" s="291"/>
      <c r="H140" s="292"/>
      <c r="I140" s="267"/>
      <c r="J140" s="267"/>
      <c r="K140" s="267"/>
      <c r="L140" s="267"/>
      <c r="M140" s="267"/>
      <c r="N140" s="267"/>
      <c r="O140" s="267"/>
      <c r="P140" s="267"/>
      <c r="Q140" s="267"/>
    </row>
    <row r="141">
      <c r="A141" s="267"/>
      <c r="B141" s="286"/>
      <c r="C141" s="287"/>
      <c r="D141" s="288"/>
      <c r="E141" s="289"/>
      <c r="F141" s="290"/>
      <c r="G141" s="291"/>
      <c r="H141" s="292"/>
      <c r="I141" s="267"/>
      <c r="J141" s="267"/>
      <c r="K141" s="267"/>
      <c r="L141" s="267"/>
      <c r="M141" s="267"/>
      <c r="N141" s="267"/>
      <c r="O141" s="267"/>
      <c r="P141" s="267"/>
      <c r="Q141" s="267"/>
    </row>
    <row r="142">
      <c r="A142" s="267"/>
      <c r="B142" s="286"/>
      <c r="C142" s="287"/>
      <c r="D142" s="288"/>
      <c r="E142" s="289"/>
      <c r="F142" s="290"/>
      <c r="G142" s="291"/>
      <c r="H142" s="292"/>
      <c r="I142" s="267"/>
      <c r="J142" s="267"/>
      <c r="K142" s="267"/>
      <c r="L142" s="267"/>
      <c r="M142" s="267"/>
      <c r="N142" s="267"/>
      <c r="O142" s="267"/>
      <c r="P142" s="267"/>
      <c r="Q142" s="267"/>
    </row>
    <row r="143">
      <c r="A143" s="267"/>
      <c r="B143" s="286"/>
      <c r="C143" s="287"/>
      <c r="D143" s="288"/>
      <c r="E143" s="289"/>
      <c r="F143" s="290"/>
      <c r="G143" s="291"/>
      <c r="H143" s="292"/>
      <c r="I143" s="267"/>
      <c r="J143" s="267"/>
      <c r="K143" s="267"/>
      <c r="L143" s="267"/>
      <c r="M143" s="267"/>
      <c r="N143" s="267"/>
      <c r="O143" s="267"/>
      <c r="P143" s="267"/>
      <c r="Q143" s="267"/>
    </row>
    <row r="144">
      <c r="A144" s="267"/>
      <c r="B144" s="286"/>
      <c r="C144" s="287"/>
      <c r="D144" s="288"/>
      <c r="E144" s="289"/>
      <c r="F144" s="290"/>
      <c r="G144" s="291"/>
      <c r="H144" s="292"/>
      <c r="I144" s="267"/>
      <c r="J144" s="267"/>
      <c r="K144" s="267"/>
      <c r="L144" s="267"/>
      <c r="M144" s="267"/>
      <c r="N144" s="267"/>
      <c r="O144" s="267"/>
      <c r="P144" s="267"/>
      <c r="Q144" s="267"/>
    </row>
    <row r="145">
      <c r="A145" s="267"/>
      <c r="B145" s="286"/>
      <c r="C145" s="287"/>
      <c r="D145" s="288"/>
      <c r="E145" s="289"/>
      <c r="F145" s="290"/>
      <c r="G145" s="291"/>
      <c r="H145" s="292"/>
      <c r="I145" s="267"/>
      <c r="J145" s="267"/>
      <c r="K145" s="267"/>
      <c r="L145" s="267"/>
      <c r="M145" s="267"/>
      <c r="N145" s="267"/>
      <c r="O145" s="267"/>
      <c r="P145" s="267"/>
      <c r="Q145" s="267"/>
    </row>
    <row r="146">
      <c r="A146" s="267"/>
      <c r="B146" s="286"/>
      <c r="C146" s="287"/>
      <c r="D146" s="288"/>
      <c r="E146" s="289"/>
      <c r="F146" s="290"/>
      <c r="G146" s="291"/>
      <c r="H146" s="292"/>
      <c r="I146" s="267"/>
      <c r="J146" s="267"/>
      <c r="K146" s="267"/>
      <c r="L146" s="267"/>
      <c r="M146" s="267"/>
      <c r="N146" s="267"/>
      <c r="O146" s="267"/>
      <c r="P146" s="267"/>
      <c r="Q146" s="267"/>
    </row>
    <row r="147">
      <c r="A147" s="267"/>
      <c r="B147" s="286"/>
      <c r="C147" s="287"/>
      <c r="D147" s="288"/>
      <c r="E147" s="289"/>
      <c r="F147" s="290"/>
      <c r="G147" s="291"/>
      <c r="H147" s="292"/>
      <c r="I147" s="267"/>
      <c r="J147" s="267"/>
      <c r="K147" s="267"/>
      <c r="L147" s="267"/>
      <c r="M147" s="267"/>
      <c r="N147" s="267"/>
      <c r="O147" s="267"/>
      <c r="P147" s="267"/>
      <c r="Q147" s="267"/>
    </row>
    <row r="148">
      <c r="A148" s="267"/>
      <c r="B148" s="286"/>
      <c r="C148" s="287"/>
      <c r="D148" s="288"/>
      <c r="E148" s="289"/>
      <c r="F148" s="290"/>
      <c r="G148" s="291"/>
      <c r="H148" s="292"/>
      <c r="I148" s="267"/>
      <c r="J148" s="267"/>
      <c r="K148" s="267"/>
      <c r="L148" s="267"/>
      <c r="M148" s="267"/>
      <c r="N148" s="267"/>
      <c r="O148" s="267"/>
      <c r="P148" s="267"/>
      <c r="Q148" s="267"/>
    </row>
    <row r="149">
      <c r="A149" s="267"/>
      <c r="B149" s="286"/>
      <c r="C149" s="287"/>
      <c r="D149" s="288"/>
      <c r="E149" s="289"/>
      <c r="F149" s="290"/>
      <c r="G149" s="291"/>
      <c r="H149" s="292"/>
      <c r="I149" s="267"/>
      <c r="J149" s="267"/>
      <c r="K149" s="267"/>
      <c r="L149" s="267"/>
      <c r="M149" s="267"/>
      <c r="N149" s="267"/>
      <c r="O149" s="267"/>
      <c r="P149" s="267"/>
      <c r="Q149" s="267"/>
    </row>
  </sheetData>
  <conditionalFormatting sqref="D1:D1048576">
    <cfRule dxfId="3" operator="lessThanOrEqual" priority="2" stopIfTrue="true" type="cellIs">
      <formula>0.78</formula>
    </cfRule>
  </conditionalFormatting>
  <conditionalFormatting sqref="A1:A1048576">
    <cfRule dxfId="4" priority="3" stopIfTrue="true" type="duplicateValues"/>
  </conditionalFormatting>
  <conditionalFormatting sqref="J1:J1048576 A1:A1048576">
    <cfRule dxfId="5" priority="4" stopIfTrue="true" type="duplicateValues"/>
  </conditionalFormatting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6" min="6" style="0" width="18"/>
    <col collapsed="false" customWidth="true" hidden="false" max="1" min="1" style="0" width="18"/>
    <col collapsed="false" customWidth="true" hidden="false" max="2" min="2" style="0" width="18"/>
    <col collapsed="false" customWidth="true" hidden="false" max="3" min="3" style="0" width="18"/>
    <col collapsed="false" customWidth="true" hidden="false" max="4" min="4" style="0" width="18"/>
    <col collapsed="false" customWidth="true" hidden="false" max="5" min="5" style="0" width="18"/>
  </cols>
  <sheetData>
    <row r="1">
      <c r="A1" s="293" t="s">
        <v>210</v>
      </c>
      <c r="B1" s="294"/>
      <c r="C1" s="294"/>
      <c r="D1" s="294"/>
      <c r="E1" s="294"/>
      <c r="F1" s="294"/>
    </row>
    <row r="2">
      <c r="A2" s="294" t="s">
        <v>211</v>
      </c>
      <c r="B2" s="295" t="s">
        <v>212</v>
      </c>
      <c r="C2" s="296" t="s">
        <v>213</v>
      </c>
      <c r="D2" s="296" t="s">
        <v>214</v>
      </c>
      <c r="E2" s="296" t="s">
        <v>215</v>
      </c>
      <c r="F2" s="297" t="s">
        <v>216</v>
      </c>
    </row>
    <row r="3">
      <c r="A3" s="298">
        <v>46142</v>
      </c>
      <c r="B3" s="299">
        <v>8411</v>
      </c>
      <c r="C3" s="300">
        <v>412130.904</v>
      </c>
      <c r="D3" s="300">
        <v>298663.26900000003</v>
      </c>
      <c r="E3" s="300">
        <v>113467.633</v>
      </c>
      <c r="F3" s="301">
        <f t="shared" ref="F3:F65" si="0">E3/C3</f>
      </c>
    </row>
    <row r="4">
      <c r="A4" s="298">
        <v>46143</v>
      </c>
      <c r="B4" s="299">
        <v>8263</v>
      </c>
      <c r="C4" s="300">
        <v>403314.35900000005</v>
      </c>
      <c r="D4" s="300">
        <v>308759.81499999994</v>
      </c>
      <c r="E4" s="300">
        <v>93072.904</v>
      </c>
      <c r="F4" s="301">
        <f t="shared" si="0"/>
      </c>
    </row>
    <row r="5">
      <c r="A5" s="298">
        <v>46144</v>
      </c>
      <c r="B5" s="299">
        <v>7671</v>
      </c>
      <c r="C5" s="300">
        <v>370929.086</v>
      </c>
      <c r="D5" s="300">
        <v>286609.993</v>
      </c>
      <c r="E5" s="300">
        <v>84319.086</v>
      </c>
      <c r="F5" s="301">
        <f t="shared" si="0"/>
      </c>
    </row>
    <row r="6">
      <c r="A6" s="298">
        <v>46145</v>
      </c>
      <c r="B6" s="299">
        <v>6980</v>
      </c>
      <c r="C6" s="300">
        <v>309857.45100000006</v>
      </c>
      <c r="D6" s="300">
        <v>226699.81200000003</v>
      </c>
      <c r="E6" s="300">
        <v>83157.63199999998</v>
      </c>
      <c r="F6" s="301">
        <f t="shared" si="0"/>
      </c>
    </row>
    <row r="7">
      <c r="A7" s="298">
        <v>46146</v>
      </c>
      <c r="B7" s="299">
        <v>8174</v>
      </c>
      <c r="C7" s="300">
        <v>385433.086</v>
      </c>
      <c r="D7" s="300">
        <v>290003.26600000006</v>
      </c>
      <c r="E7" s="300">
        <v>95429.814</v>
      </c>
      <c r="F7" s="301">
        <f t="shared" si="0"/>
      </c>
    </row>
    <row r="8">
      <c r="A8" s="298">
        <v>46147</v>
      </c>
      <c r="B8" s="299">
        <v>8310</v>
      </c>
      <c r="C8" s="300">
        <v>415825.63000000006</v>
      </c>
      <c r="D8" s="300">
        <v>319726.722</v>
      </c>
      <c r="E8" s="300">
        <v>96098.904</v>
      </c>
      <c r="F8" s="301">
        <f t="shared" si="0"/>
      </c>
    </row>
    <row r="9">
      <c r="A9" s="298">
        <v>46148</v>
      </c>
      <c r="B9" s="299">
        <v>7728</v>
      </c>
      <c r="C9" s="300">
        <v>427235.994</v>
      </c>
      <c r="D9" s="300">
        <v>322843.631</v>
      </c>
      <c r="E9" s="300">
        <v>104392.35899999998</v>
      </c>
      <c r="F9" s="301">
        <f t="shared" si="0"/>
      </c>
    </row>
    <row r="10">
      <c r="A10" s="298">
        <v>46149</v>
      </c>
      <c r="B10" s="299">
        <v>9330</v>
      </c>
      <c r="C10" s="300">
        <v>519597.81299999997</v>
      </c>
      <c r="D10" s="300">
        <v>358786.72000000003</v>
      </c>
      <c r="E10" s="300">
        <v>160811.085</v>
      </c>
      <c r="F10" s="301">
        <f t="shared" si="0"/>
      </c>
    </row>
    <row r="11">
      <c r="A11" s="298">
        <v>46150</v>
      </c>
      <c r="B11" s="299">
        <v>9005</v>
      </c>
      <c r="C11" s="300">
        <v>492776.177</v>
      </c>
      <c r="D11" s="300">
        <v>386283.628</v>
      </c>
      <c r="E11" s="300">
        <v>106492.541</v>
      </c>
      <c r="F11" s="301">
        <f t="shared" si="0"/>
      </c>
    </row>
    <row r="12">
      <c r="A12" s="298">
        <v>46151</v>
      </c>
      <c r="B12" s="299">
        <v>8915</v>
      </c>
      <c r="C12" s="300">
        <v>436863.08499999996</v>
      </c>
      <c r="D12" s="300">
        <v>347559.085</v>
      </c>
      <c r="E12" s="300">
        <v>89303.99699999999</v>
      </c>
      <c r="F12" s="301">
        <f t="shared" si="0"/>
      </c>
    </row>
    <row r="13">
      <c r="A13" s="298">
        <v>46152</v>
      </c>
      <c r="B13" s="299">
        <v>6319</v>
      </c>
      <c r="C13" s="300">
        <v>374266.543</v>
      </c>
      <c r="D13" s="300">
        <v>288376.357</v>
      </c>
      <c r="E13" s="300">
        <v>85890.178</v>
      </c>
      <c r="F13" s="301">
        <f t="shared" si="0"/>
      </c>
    </row>
    <row r="14">
      <c r="A14" s="298">
        <v>46153</v>
      </c>
      <c r="B14" s="299">
        <v>7253</v>
      </c>
      <c r="C14" s="300">
        <v>391531.45099999994</v>
      </c>
      <c r="D14" s="300">
        <v>329669.448</v>
      </c>
      <c r="E14" s="300">
        <v>61861.99799999999</v>
      </c>
      <c r="F14" s="301">
        <f t="shared" si="0"/>
      </c>
    </row>
    <row r="15">
      <c r="A15" s="298">
        <v>46154</v>
      </c>
      <c r="B15" s="299">
        <v>7934</v>
      </c>
      <c r="C15" s="300">
        <v>390006.9040000001</v>
      </c>
      <c r="D15" s="300">
        <v>312416.17500000005</v>
      </c>
      <c r="E15" s="300">
        <v>77590.72499999999</v>
      </c>
      <c r="F15" s="301">
        <f t="shared" si="0"/>
      </c>
    </row>
    <row r="16">
      <c r="A16" s="298">
        <v>46155</v>
      </c>
      <c r="B16" s="299">
        <v>7433</v>
      </c>
      <c r="C16" s="300">
        <v>385077.631</v>
      </c>
      <c r="D16" s="300">
        <v>292820.356</v>
      </c>
      <c r="E16" s="300">
        <v>92257.269</v>
      </c>
      <c r="F16" s="301">
        <f t="shared" si="0"/>
      </c>
    </row>
    <row r="17">
      <c r="A17" s="298">
        <v>46156</v>
      </c>
      <c r="B17" s="299">
        <v>7790</v>
      </c>
      <c r="C17" s="300">
        <v>374890.542</v>
      </c>
      <c r="D17" s="300">
        <v>275871.087</v>
      </c>
      <c r="E17" s="300">
        <v>99019.451</v>
      </c>
      <c r="F17" s="301">
        <f t="shared" si="0"/>
      </c>
    </row>
    <row r="18">
      <c r="A18" s="298">
        <v>46157</v>
      </c>
      <c r="B18" s="299">
        <v>8251</v>
      </c>
      <c r="C18" s="300">
        <v>431201.44899999996</v>
      </c>
      <c r="D18" s="300">
        <v>325973.63099999994</v>
      </c>
      <c r="E18" s="300">
        <v>105227.813</v>
      </c>
      <c r="F18" s="301">
        <f t="shared" si="0"/>
      </c>
    </row>
    <row r="19">
      <c r="A19" s="298">
        <v>46158</v>
      </c>
      <c r="B19" s="299">
        <v>10268</v>
      </c>
      <c r="C19" s="300">
        <v>413224.559</v>
      </c>
      <c r="D19" s="300">
        <v>315023.44899999996</v>
      </c>
      <c r="E19" s="300">
        <v>98201.10299999999</v>
      </c>
      <c r="F19" s="301">
        <f t="shared" si="0"/>
      </c>
    </row>
    <row r="20">
      <c r="A20" s="298">
        <v>46159</v>
      </c>
      <c r="B20" s="299">
        <v>10194</v>
      </c>
      <c r="C20" s="300">
        <v>366258.17699999997</v>
      </c>
      <c r="D20" s="300">
        <v>262625.631</v>
      </c>
      <c r="E20" s="300">
        <v>103632.54</v>
      </c>
      <c r="F20" s="301">
        <f t="shared" si="0"/>
      </c>
    </row>
    <row r="21">
      <c r="A21" s="298">
        <v>46160</v>
      </c>
      <c r="B21" s="299">
        <v>8744</v>
      </c>
      <c r="C21" s="300">
        <v>384179.993</v>
      </c>
      <c r="D21" s="300">
        <v>323211.08699999994</v>
      </c>
      <c r="E21" s="300">
        <v>60968.903999999995</v>
      </c>
      <c r="F21" s="301">
        <f t="shared" si="0"/>
      </c>
    </row>
    <row r="22">
      <c r="A22" s="298">
        <v>46161</v>
      </c>
      <c r="B22" s="299">
        <v>7892</v>
      </c>
      <c r="C22" s="300">
        <v>379595.812</v>
      </c>
      <c r="D22" s="300">
        <v>308839.812</v>
      </c>
      <c r="E22" s="300">
        <v>70755.99399999999</v>
      </c>
      <c r="F22" s="301">
        <f t="shared" si="0"/>
      </c>
    </row>
    <row r="23">
      <c r="A23" s="298">
        <v>46162</v>
      </c>
      <c r="B23" s="299">
        <v>8211</v>
      </c>
      <c r="C23" s="300">
        <v>435836.721</v>
      </c>
      <c r="D23" s="300">
        <v>325166.902</v>
      </c>
      <c r="E23" s="300">
        <v>110669.813</v>
      </c>
      <c r="F23" s="301">
        <f t="shared" si="0"/>
      </c>
    </row>
    <row r="24">
      <c r="A24" s="298">
        <v>46163</v>
      </c>
      <c r="B24" s="299">
        <v>7244</v>
      </c>
      <c r="C24" s="300">
        <v>381377.62999999995</v>
      </c>
      <c r="D24" s="300">
        <v>237645.81300000002</v>
      </c>
      <c r="E24" s="300">
        <v>143731.813</v>
      </c>
      <c r="F24" s="301">
        <f t="shared" si="0"/>
      </c>
    </row>
    <row r="25">
      <c r="A25" s="298">
        <v>46164</v>
      </c>
      <c r="B25" s="299">
        <v>7207</v>
      </c>
      <c r="C25" s="300">
        <v>368286.7209999999</v>
      </c>
      <c r="D25" s="300">
        <v>295733.449</v>
      </c>
      <c r="E25" s="300">
        <v>72553.271</v>
      </c>
      <c r="F25" s="301">
        <f t="shared" si="0"/>
      </c>
    </row>
    <row r="26">
      <c r="A26" s="298">
        <v>46165</v>
      </c>
      <c r="B26" s="299">
        <v>5919</v>
      </c>
      <c r="C26" s="300">
        <v>376298.3579999999</v>
      </c>
      <c r="D26" s="300">
        <v>317311.26600000006</v>
      </c>
      <c r="E26" s="300">
        <v>58987.087</v>
      </c>
      <c r="F26" s="301">
        <f t="shared" si="0"/>
      </c>
    </row>
    <row r="27">
      <c r="A27" s="298">
        <v>46166</v>
      </c>
      <c r="B27" s="299">
        <v>4995</v>
      </c>
      <c r="C27" s="300">
        <v>320273.449</v>
      </c>
      <c r="D27" s="300">
        <v>254841.26799999998</v>
      </c>
      <c r="E27" s="300">
        <v>65432.178</v>
      </c>
      <c r="F27" s="301">
        <f t="shared" si="0"/>
      </c>
    </row>
    <row r="28">
      <c r="A28" s="298">
        <v>46167</v>
      </c>
      <c r="B28" s="299">
        <v>5024</v>
      </c>
      <c r="C28" s="300">
        <v>387655.9930000001</v>
      </c>
      <c r="D28" s="300">
        <v>299060.17699999997</v>
      </c>
      <c r="E28" s="300">
        <v>88595.81299999998</v>
      </c>
      <c r="F28" s="301">
        <f t="shared" si="0"/>
      </c>
    </row>
    <row r="29">
      <c r="A29" s="298">
        <v>46168</v>
      </c>
      <c r="B29" s="299">
        <v>5055</v>
      </c>
      <c r="C29" s="300">
        <v>371247.285</v>
      </c>
      <c r="D29" s="300">
        <v>307136.90299999993</v>
      </c>
      <c r="E29" s="300">
        <v>64110.37999999999</v>
      </c>
      <c r="F29" s="301">
        <f t="shared" si="0"/>
      </c>
    </row>
    <row r="30">
      <c r="A30" s="298">
        <v>46169</v>
      </c>
      <c r="B30" s="299">
        <v>4520</v>
      </c>
      <c r="C30" s="300">
        <v>373441.27100000007</v>
      </c>
      <c r="D30" s="300">
        <v>284783.267</v>
      </c>
      <c r="E30" s="300">
        <v>88657.999</v>
      </c>
      <c r="F30" s="301">
        <f t="shared" si="0"/>
      </c>
    </row>
    <row r="31">
      <c r="A31" s="298">
        <v>46170</v>
      </c>
      <c r="B31" s="299">
        <v>4300</v>
      </c>
      <c r="C31" s="300">
        <v>360441.812</v>
      </c>
      <c r="D31" s="300">
        <v>271846.539</v>
      </c>
      <c r="E31" s="300">
        <v>88595.26699999999</v>
      </c>
      <c r="F31" s="301">
        <f t="shared" si="0"/>
      </c>
    </row>
    <row r="32">
      <c r="A32" s="298">
        <v>46171</v>
      </c>
      <c r="B32" s="299">
        <v>4369</v>
      </c>
      <c r="C32" s="300">
        <v>435778.72</v>
      </c>
      <c r="D32" s="300">
        <v>316753.0840000001</v>
      </c>
      <c r="E32" s="300">
        <v>119025.632</v>
      </c>
      <c r="F32" s="301">
        <f t="shared" si="0"/>
      </c>
    </row>
    <row r="33">
      <c r="A33" s="298">
        <v>46172</v>
      </c>
      <c r="B33" s="299">
        <v>3761</v>
      </c>
      <c r="C33" s="300">
        <v>393274.905</v>
      </c>
      <c r="D33" s="300">
        <v>306258.90299999993</v>
      </c>
      <c r="E33" s="300">
        <v>87117.81399999998</v>
      </c>
      <c r="F33" s="301">
        <f t="shared" si="0"/>
      </c>
    </row>
    <row r="34">
      <c r="A34" s="298">
        <v>46173</v>
      </c>
      <c r="B34" s="299">
        <v>3176</v>
      </c>
      <c r="C34" s="300">
        <v>313517.9930000001</v>
      </c>
      <c r="D34" s="300">
        <v>248077.08500000005</v>
      </c>
      <c r="E34" s="300">
        <v>65440.903999999995</v>
      </c>
      <c r="F34" s="301">
        <f t="shared" si="0"/>
      </c>
    </row>
    <row r="35">
      <c r="A35" s="298">
        <v>46174</v>
      </c>
      <c r="B35" s="299">
        <v>4355</v>
      </c>
      <c r="C35" s="300">
        <v>387296.902</v>
      </c>
      <c r="D35" s="300">
        <v>309193.449</v>
      </c>
      <c r="E35" s="300">
        <v>78350.722</v>
      </c>
      <c r="F35" s="301">
        <f t="shared" si="0"/>
      </c>
    </row>
    <row r="36">
      <c r="A36" s="298">
        <v>46175</v>
      </c>
      <c r="B36" s="299">
        <v>6336</v>
      </c>
      <c r="C36" s="300">
        <v>430395.26900000003</v>
      </c>
      <c r="D36" s="300">
        <v>348464.72000000003</v>
      </c>
      <c r="E36" s="300">
        <v>82032.361</v>
      </c>
      <c r="F36" s="301">
        <f t="shared" si="0"/>
      </c>
    </row>
    <row r="37">
      <c r="A37" s="298">
        <v>46176</v>
      </c>
      <c r="B37" s="302">
        <v>4401</v>
      </c>
      <c r="C37" s="303">
        <v>428218</v>
      </c>
      <c r="D37" s="303">
        <v>313142.54</v>
      </c>
      <c r="E37" s="303">
        <v>115199.09</v>
      </c>
      <c r="F37" s="301">
        <f t="shared" si="0"/>
      </c>
    </row>
    <row r="38">
      <c r="A38" s="298">
        <v>46177</v>
      </c>
      <c r="B38" s="299">
        <v>4749</v>
      </c>
      <c r="C38" s="300">
        <v>390096.722</v>
      </c>
      <c r="D38" s="300">
        <v>306623.995</v>
      </c>
      <c r="E38" s="300">
        <v>83578.178</v>
      </c>
      <c r="F38" s="301">
        <f t="shared" si="0"/>
      </c>
    </row>
    <row r="39">
      <c r="A39" s="298">
        <v>46178</v>
      </c>
      <c r="B39" s="302">
        <v>5371</v>
      </c>
      <c r="C39" s="303">
        <v>485705.63</v>
      </c>
      <c r="D39" s="303">
        <v>356794.54</v>
      </c>
      <c r="E39" s="303">
        <v>128911.09</v>
      </c>
      <c r="F39" s="301">
        <f t="shared" si="0"/>
      </c>
    </row>
    <row r="40">
      <c r="A40" s="298">
        <v>46179</v>
      </c>
      <c r="B40" s="299">
        <v>7033</v>
      </c>
      <c r="C40" s="300">
        <v>473484.9039999999</v>
      </c>
      <c r="D40" s="300">
        <v>378603.26600000006</v>
      </c>
      <c r="E40" s="300">
        <v>94881.62999999999</v>
      </c>
      <c r="F40" s="301">
        <f t="shared" si="0"/>
      </c>
    </row>
    <row r="41">
      <c r="A41" s="298">
        <v>46180</v>
      </c>
      <c r="B41" s="299">
        <v>6402</v>
      </c>
      <c r="C41" s="300">
        <v>403141.466</v>
      </c>
      <c r="D41" s="300">
        <v>323590.90199999994</v>
      </c>
      <c r="E41" s="300">
        <v>79550.559</v>
      </c>
      <c r="F41" s="301">
        <f t="shared" si="0"/>
      </c>
    </row>
    <row r="42">
      <c r="A42" s="298">
        <v>46181</v>
      </c>
      <c r="B42" s="299">
        <v>5839</v>
      </c>
      <c r="C42" s="303">
        <v>434959.99</v>
      </c>
      <c r="D42" s="303">
        <v>388188.18</v>
      </c>
      <c r="E42" s="300">
        <v>46877.26899999999</v>
      </c>
      <c r="F42" s="301">
        <f t="shared" si="0"/>
      </c>
    </row>
    <row r="43">
      <c r="A43" s="298">
        <v>46182</v>
      </c>
      <c r="B43" s="302">
        <v>5130</v>
      </c>
      <c r="C43" s="303">
        <v>433552.9</v>
      </c>
      <c r="D43" s="303">
        <v>380207.09</v>
      </c>
      <c r="E43" s="303">
        <v>53534.91</v>
      </c>
      <c r="F43" s="301">
        <f t="shared" si="0"/>
      </c>
    </row>
    <row r="44">
      <c r="A44" s="298">
        <v>46183</v>
      </c>
      <c r="B44" s="299">
        <v>4908</v>
      </c>
      <c r="C44" s="300">
        <v>421276.556</v>
      </c>
      <c r="D44" s="300">
        <v>312982.903</v>
      </c>
      <c r="E44" s="300">
        <v>108293.65099999998</v>
      </c>
      <c r="F44" s="301">
        <f t="shared" si="0"/>
      </c>
    </row>
    <row r="45">
      <c r="A45" s="298">
        <v>46184</v>
      </c>
      <c r="B45" s="299">
        <v>4655</v>
      </c>
      <c r="C45" s="300">
        <v>366583.266</v>
      </c>
      <c r="D45" s="300">
        <v>281793.085</v>
      </c>
      <c r="E45" s="300">
        <v>84975.63199999998</v>
      </c>
      <c r="F45" s="301">
        <f t="shared" si="0"/>
      </c>
    </row>
    <row r="46">
      <c r="A46" s="298">
        <v>46185</v>
      </c>
      <c r="B46" s="299">
        <v>4542</v>
      </c>
      <c r="C46" s="300">
        <v>361177.81</v>
      </c>
      <c r="D46" s="300">
        <v>282182.71900000004</v>
      </c>
      <c r="E46" s="300">
        <v>78995.087</v>
      </c>
      <c r="F46" s="301">
        <f t="shared" si="0"/>
      </c>
    </row>
    <row r="47">
      <c r="A47" s="298">
        <v>46186</v>
      </c>
      <c r="B47" s="299">
        <v>4643</v>
      </c>
      <c r="C47" s="300">
        <v>358453.26600000006</v>
      </c>
      <c r="D47" s="300">
        <v>272061.812</v>
      </c>
      <c r="E47" s="300">
        <v>86391.45</v>
      </c>
      <c r="F47" s="301">
        <f t="shared" si="0"/>
      </c>
    </row>
    <row r="48">
      <c r="A48" s="298">
        <v>46187</v>
      </c>
      <c r="B48" s="299">
        <v>5194</v>
      </c>
      <c r="C48" s="300">
        <v>322450.719</v>
      </c>
      <c r="D48" s="300">
        <v>259780.54000000004</v>
      </c>
      <c r="E48" s="300">
        <v>62644.35999999999</v>
      </c>
      <c r="F48" s="301">
        <f t="shared" si="0"/>
      </c>
    </row>
    <row r="49">
      <c r="A49" s="298">
        <v>46188</v>
      </c>
      <c r="B49" s="299">
        <v>5615</v>
      </c>
      <c r="C49" s="300">
        <v>397580.539</v>
      </c>
      <c r="D49" s="300">
        <v>289642.3570000001</v>
      </c>
      <c r="E49" s="300">
        <v>107938.17599999999</v>
      </c>
      <c r="F49" s="301">
        <f t="shared" si="0"/>
      </c>
    </row>
    <row r="50">
      <c r="A50" s="298">
        <v>46189</v>
      </c>
      <c r="B50" s="299">
        <v>5368</v>
      </c>
      <c r="C50" s="300">
        <v>375161.813</v>
      </c>
      <c r="D50" s="300">
        <v>318545.44700000004</v>
      </c>
      <c r="E50" s="300">
        <v>56616.35899999998</v>
      </c>
      <c r="F50" s="301">
        <f t="shared" si="0"/>
      </c>
    </row>
    <row r="51">
      <c r="A51" s="298">
        <v>46190</v>
      </c>
      <c r="B51" s="299">
        <v>4985</v>
      </c>
      <c r="C51" s="300">
        <v>367391.4480000001</v>
      </c>
      <c r="D51" s="300">
        <v>300148.3560000001</v>
      </c>
      <c r="E51" s="300">
        <v>67243.087</v>
      </c>
      <c r="F51" s="301">
        <f t="shared" si="0"/>
      </c>
    </row>
    <row r="52">
      <c r="A52" s="298">
        <v>46191</v>
      </c>
      <c r="B52" s="299">
        <v>4482</v>
      </c>
      <c r="C52" s="300">
        <v>365589.12400000007</v>
      </c>
      <c r="D52" s="300">
        <v>278704.357</v>
      </c>
      <c r="E52" s="300">
        <v>86884.76099999998</v>
      </c>
      <c r="F52" s="301">
        <f t="shared" si="0"/>
      </c>
    </row>
    <row r="53">
      <c r="A53" s="298">
        <v>46192</v>
      </c>
      <c r="B53" s="299">
        <v>4764</v>
      </c>
      <c r="C53" s="300">
        <v>389835.447</v>
      </c>
      <c r="D53" s="300">
        <v>291506.72099999996</v>
      </c>
      <c r="E53" s="300">
        <v>98328.72099999999</v>
      </c>
      <c r="F53" s="301">
        <f t="shared" si="0"/>
      </c>
    </row>
    <row r="54">
      <c r="A54" s="298">
        <v>46193</v>
      </c>
      <c r="B54" s="299">
        <v>5281</v>
      </c>
      <c r="C54" s="300">
        <v>391524.72200000007</v>
      </c>
      <c r="D54" s="300">
        <v>306569.266</v>
      </c>
      <c r="E54" s="300">
        <v>84955.449</v>
      </c>
      <c r="F54" s="301">
        <f t="shared" si="0"/>
      </c>
    </row>
    <row r="55">
      <c r="A55" s="298">
        <v>46194</v>
      </c>
      <c r="B55" s="299">
        <v>4779</v>
      </c>
      <c r="C55" s="300">
        <v>337498.72199999995</v>
      </c>
      <c r="D55" s="300">
        <v>265665.265</v>
      </c>
      <c r="E55" s="300">
        <v>71833.44799999999</v>
      </c>
      <c r="F55" s="301">
        <f t="shared" si="0"/>
      </c>
    </row>
    <row r="56">
      <c r="A56" s="298">
        <v>46195</v>
      </c>
      <c r="B56" s="299"/>
      <c r="C56" s="300"/>
      <c r="D56" s="300"/>
      <c r="E56" s="300"/>
      <c r="F56" s="301">
        <f t="shared" si="0"/>
      </c>
    </row>
    <row r="57">
      <c r="A57" s="298">
        <v>46196</v>
      </c>
      <c r="B57" s="299"/>
      <c r="C57" s="300"/>
      <c r="D57" s="300"/>
      <c r="E57" s="300"/>
      <c r="F57" s="301">
        <f t="shared" si="0"/>
      </c>
    </row>
    <row r="58">
      <c r="A58" s="298">
        <v>46197</v>
      </c>
      <c r="B58" s="299"/>
      <c r="C58" s="300"/>
      <c r="D58" s="300"/>
      <c r="E58" s="300"/>
      <c r="F58" s="301">
        <f t="shared" si="0"/>
      </c>
    </row>
    <row r="59">
      <c r="A59" s="298">
        <v>46198</v>
      </c>
      <c r="B59" s="299"/>
      <c r="C59" s="300"/>
      <c r="D59" s="300"/>
      <c r="E59" s="300"/>
      <c r="F59" s="301">
        <f t="shared" si="0"/>
      </c>
    </row>
    <row r="60">
      <c r="A60" s="298">
        <v>46199</v>
      </c>
      <c r="B60" s="299"/>
      <c r="C60" s="300"/>
      <c r="D60" s="300"/>
      <c r="E60" s="300"/>
      <c r="F60" s="301">
        <f t="shared" si="0"/>
      </c>
    </row>
    <row r="61">
      <c r="A61" s="298">
        <v>46200</v>
      </c>
      <c r="B61" s="299"/>
      <c r="C61" s="300"/>
      <c r="D61" s="300"/>
      <c r="E61" s="300"/>
      <c r="F61" s="301">
        <f t="shared" si="0"/>
      </c>
    </row>
    <row r="62">
      <c r="A62" s="298">
        <v>46201</v>
      </c>
      <c r="B62" s="299"/>
      <c r="C62" s="300"/>
      <c r="D62" s="300"/>
      <c r="E62" s="300"/>
      <c r="F62" s="301">
        <f t="shared" si="0"/>
      </c>
    </row>
    <row r="63">
      <c r="A63" s="298">
        <v>46202</v>
      </c>
      <c r="B63" s="299"/>
      <c r="C63" s="300"/>
      <c r="D63" s="300"/>
      <c r="E63" s="300"/>
      <c r="F63" s="301">
        <f t="shared" si="0"/>
      </c>
    </row>
    <row r="64">
      <c r="A64" s="298">
        <v>46203</v>
      </c>
      <c r="B64" s="299"/>
      <c r="C64" s="300"/>
      <c r="D64" s="300"/>
      <c r="E64" s="300"/>
      <c r="F64" s="301">
        <f t="shared" si="0"/>
      </c>
    </row>
    <row r="65">
      <c r="A65" s="298">
        <v>46204</v>
      </c>
      <c r="B65" s="299"/>
      <c r="C65" s="300"/>
      <c r="D65" s="300"/>
      <c r="E65" s="300"/>
      <c r="F65" s="301">
        <f t="shared" si="0"/>
      </c>
    </row>
    <row r="66">
      <c r="A66" s="298">
        <v>46205</v>
      </c>
      <c r="B66" s="299"/>
      <c r="C66" s="300"/>
      <c r="D66" s="300"/>
      <c r="E66" s="300"/>
      <c r="F66" s="304"/>
    </row>
    <row r="67">
      <c r="A67" s="298">
        <v>46206</v>
      </c>
      <c r="B67" s="299"/>
      <c r="C67" s="300"/>
      <c r="D67" s="300"/>
      <c r="E67" s="300"/>
      <c r="F67" s="304"/>
    </row>
    <row r="68">
      <c r="A68" s="298">
        <v>46207</v>
      </c>
      <c r="B68" s="299"/>
      <c r="C68" s="300"/>
      <c r="D68" s="300"/>
      <c r="E68" s="300"/>
      <c r="F68" s="304"/>
    </row>
    <row r="69">
      <c r="A69" s="298">
        <v>46208</v>
      </c>
      <c r="B69" s="299"/>
      <c r="C69" s="300"/>
      <c r="D69" s="300"/>
      <c r="E69" s="300"/>
      <c r="F69" s="304"/>
    </row>
    <row r="70">
      <c r="A70" s="298">
        <v>46209</v>
      </c>
      <c r="B70" s="299"/>
      <c r="C70" s="300"/>
      <c r="D70" s="300"/>
      <c r="E70" s="300"/>
      <c r="F70" s="304"/>
    </row>
    <row r="71">
      <c r="A71" s="298">
        <v>46210</v>
      </c>
      <c r="B71" s="299"/>
      <c r="C71" s="300"/>
      <c r="D71" s="300"/>
      <c r="E71" s="300"/>
      <c r="F71" s="304"/>
    </row>
    <row r="72">
      <c r="A72" s="298">
        <v>46211</v>
      </c>
      <c r="B72" s="299"/>
      <c r="C72" s="300"/>
      <c r="D72" s="300"/>
      <c r="E72" s="300"/>
      <c r="F72" s="304"/>
    </row>
    <row r="73">
      <c r="A73" s="298">
        <v>46212</v>
      </c>
      <c r="B73" s="299"/>
      <c r="C73" s="300"/>
      <c r="D73" s="300"/>
      <c r="E73" s="300"/>
      <c r="F73" s="304"/>
    </row>
    <row r="74">
      <c r="A74" s="298">
        <v>46213</v>
      </c>
      <c r="B74" s="299"/>
      <c r="C74" s="300"/>
      <c r="D74" s="300"/>
      <c r="E74" s="300"/>
      <c r="F74" s="304"/>
    </row>
    <row r="75">
      <c r="A75" s="298">
        <v>46214</v>
      </c>
      <c r="B75" s="299"/>
      <c r="C75" s="300"/>
      <c r="D75" s="300"/>
      <c r="E75" s="300"/>
      <c r="F75" s="304"/>
    </row>
    <row r="76">
      <c r="A76" s="298">
        <v>46215</v>
      </c>
      <c r="B76" s="299"/>
      <c r="C76" s="300"/>
      <c r="D76" s="300"/>
      <c r="E76" s="300"/>
      <c r="F76" s="304"/>
    </row>
    <row r="77">
      <c r="A77" s="298">
        <v>46216</v>
      </c>
      <c r="B77" s="299"/>
      <c r="C77" s="300"/>
      <c r="D77" s="300"/>
      <c r="E77" s="300"/>
      <c r="F77" s="304"/>
    </row>
    <row r="78">
      <c r="A78" s="298">
        <v>46217</v>
      </c>
      <c r="B78" s="299"/>
      <c r="C78" s="300"/>
      <c r="D78" s="300"/>
      <c r="E78" s="300"/>
      <c r="F78" s="304"/>
    </row>
    <row r="79">
      <c r="A79" s="298">
        <v>46218</v>
      </c>
      <c r="B79" s="299"/>
      <c r="C79" s="300"/>
      <c r="D79" s="300"/>
      <c r="E79" s="300"/>
      <c r="F79" s="304"/>
    </row>
    <row r="80">
      <c r="A80" s="298">
        <v>46219</v>
      </c>
      <c r="B80" s="299"/>
      <c r="C80" s="300"/>
      <c r="D80" s="300"/>
      <c r="E80" s="300"/>
      <c r="F80" s="304"/>
    </row>
    <row r="81">
      <c r="A81" s="298">
        <v>46220</v>
      </c>
      <c r="B81" s="299"/>
      <c r="C81" s="300"/>
      <c r="D81" s="300"/>
      <c r="E81" s="300"/>
      <c r="F81" s="304"/>
    </row>
    <row r="82">
      <c r="A82" s="298">
        <v>46221</v>
      </c>
      <c r="B82" s="299"/>
      <c r="C82" s="300"/>
      <c r="D82" s="300"/>
      <c r="E82" s="300"/>
      <c r="F82" s="304"/>
    </row>
    <row r="83">
      <c r="A83" s="298">
        <v>46222</v>
      </c>
      <c r="B83" s="299"/>
      <c r="C83" s="300"/>
      <c r="D83" s="300"/>
      <c r="E83" s="300"/>
      <c r="F83" s="304"/>
    </row>
    <row r="84">
      <c r="A84" s="298">
        <v>46223</v>
      </c>
      <c r="B84" s="299"/>
      <c r="C84" s="300"/>
      <c r="D84" s="300"/>
      <c r="E84" s="300"/>
      <c r="F84" s="304"/>
    </row>
    <row r="85">
      <c r="A85" s="305"/>
      <c r="B85" s="299"/>
      <c r="C85" s="300"/>
      <c r="D85" s="300"/>
      <c r="E85" s="300"/>
      <c r="F85" s="304"/>
    </row>
    <row r="86">
      <c r="A86" s="305"/>
      <c r="B86" s="299"/>
      <c r="C86" s="300"/>
      <c r="D86" s="300"/>
      <c r="E86" s="300"/>
      <c r="F86" s="304"/>
    </row>
    <row r="87">
      <c r="A87" s="305"/>
      <c r="B87" s="299"/>
      <c r="C87" s="300"/>
      <c r="D87" s="300"/>
      <c r="E87" s="300"/>
      <c r="F87" s="304"/>
    </row>
    <row r="88">
      <c r="A88" s="305"/>
      <c r="B88" s="299"/>
      <c r="C88" s="300"/>
      <c r="D88" s="300"/>
      <c r="E88" s="300"/>
      <c r="F88" s="304"/>
    </row>
    <row r="89">
      <c r="A89" s="305"/>
      <c r="B89" s="299"/>
      <c r="C89" s="300"/>
      <c r="D89" s="300"/>
      <c r="E89" s="300"/>
      <c r="F89" s="304"/>
    </row>
    <row r="90">
      <c r="A90" s="305"/>
      <c r="B90" s="299"/>
      <c r="C90" s="300"/>
      <c r="D90" s="300"/>
      <c r="E90" s="300"/>
      <c r="F90" s="304"/>
    </row>
    <row r="91">
      <c r="A91" s="305"/>
      <c r="B91" s="299"/>
      <c r="C91" s="300"/>
      <c r="D91" s="300"/>
      <c r="E91" s="300"/>
      <c r="F91" s="304"/>
    </row>
    <row r="92">
      <c r="A92" s="305"/>
      <c r="B92" s="299"/>
      <c r="C92" s="300"/>
      <c r="D92" s="300"/>
      <c r="E92" s="300"/>
      <c r="F92" s="304"/>
    </row>
    <row r="93">
      <c r="A93" s="305"/>
      <c r="B93" s="299"/>
      <c r="C93" s="300"/>
      <c r="D93" s="300"/>
      <c r="E93" s="300"/>
      <c r="F93" s="304"/>
    </row>
    <row r="94">
      <c r="A94" s="305"/>
      <c r="B94" s="299"/>
      <c r="C94" s="300"/>
      <c r="D94" s="300"/>
      <c r="E94" s="300"/>
      <c r="F94" s="304"/>
    </row>
    <row r="95">
      <c r="A95" s="305"/>
      <c r="B95" s="299"/>
      <c r="C95" s="300"/>
      <c r="D95" s="300"/>
      <c r="E95" s="300"/>
      <c r="F95" s="304"/>
    </row>
    <row r="96">
      <c r="A96" s="305"/>
      <c r="B96" s="299"/>
      <c r="C96" s="300"/>
      <c r="D96" s="300"/>
      <c r="E96" s="300"/>
      <c r="F96" s="304"/>
    </row>
    <row r="97">
      <c r="A97" s="305"/>
      <c r="B97" s="299"/>
      <c r="C97" s="300"/>
      <c r="D97" s="300"/>
      <c r="E97" s="300"/>
      <c r="F97" s="304"/>
    </row>
    <row r="98">
      <c r="A98" s="305"/>
      <c r="B98" s="299"/>
      <c r="C98" s="300"/>
      <c r="D98" s="300"/>
      <c r="E98" s="300"/>
      <c r="F98" s="304"/>
    </row>
    <row r="99">
      <c r="A99" s="305"/>
      <c r="B99" s="299"/>
      <c r="C99" s="300"/>
      <c r="D99" s="300"/>
      <c r="E99" s="300"/>
      <c r="F99" s="304"/>
    </row>
    <row r="100">
      <c r="A100" s="305"/>
      <c r="B100" s="299"/>
      <c r="C100" s="300"/>
      <c r="D100" s="300"/>
      <c r="E100" s="300"/>
      <c r="F100" s="304"/>
    </row>
    <row r="101">
      <c r="A101" s="305"/>
      <c r="B101" s="299"/>
      <c r="C101" s="300"/>
      <c r="D101" s="300"/>
      <c r="E101" s="300"/>
      <c r="F101" s="304"/>
    </row>
    <row r="102">
      <c r="A102" s="305"/>
      <c r="B102" s="299"/>
      <c r="C102" s="300"/>
      <c r="D102" s="300"/>
      <c r="E102" s="300"/>
      <c r="F102" s="304"/>
    </row>
    <row r="103">
      <c r="A103" s="305"/>
      <c r="B103" s="299"/>
      <c r="C103" s="300"/>
      <c r="D103" s="300"/>
      <c r="E103" s="300"/>
      <c r="F103" s="304"/>
    </row>
    <row r="104">
      <c r="A104" s="305"/>
      <c r="B104" s="299"/>
      <c r="C104" s="300"/>
      <c r="D104" s="300"/>
      <c r="E104" s="300"/>
      <c r="F104" s="304"/>
    </row>
    <row r="105">
      <c r="A105" s="305"/>
      <c r="B105" s="299"/>
      <c r="C105" s="300"/>
      <c r="D105" s="300"/>
      <c r="E105" s="300"/>
      <c r="F105" s="304"/>
    </row>
    <row r="106">
      <c r="A106" s="305"/>
      <c r="B106" s="299"/>
      <c r="C106" s="300"/>
      <c r="D106" s="300"/>
      <c r="E106" s="300"/>
      <c r="F106" s="304"/>
    </row>
    <row r="107">
      <c r="A107" s="305"/>
      <c r="B107" s="299"/>
      <c r="C107" s="300"/>
      <c r="D107" s="300"/>
      <c r="E107" s="300"/>
      <c r="F107" s="304"/>
    </row>
    <row r="108">
      <c r="A108" s="305"/>
      <c r="B108" s="299"/>
      <c r="C108" s="300"/>
      <c r="D108" s="300"/>
      <c r="E108" s="300"/>
      <c r="F108" s="304"/>
    </row>
    <row r="109">
      <c r="A109" s="305"/>
      <c r="B109" s="299"/>
      <c r="C109" s="300"/>
      <c r="D109" s="300"/>
      <c r="E109" s="300"/>
      <c r="F109" s="304"/>
    </row>
    <row r="110">
      <c r="A110" s="305"/>
      <c r="B110" s="299"/>
      <c r="C110" s="300"/>
      <c r="D110" s="300"/>
      <c r="E110" s="300"/>
      <c r="F110" s="304"/>
    </row>
    <row r="111">
      <c r="A111" s="305"/>
      <c r="B111" s="299"/>
      <c r="C111" s="300"/>
      <c r="D111" s="300"/>
      <c r="E111" s="300"/>
      <c r="F111" s="304"/>
    </row>
    <row r="112">
      <c r="A112" s="305"/>
      <c r="B112" s="299"/>
      <c r="C112" s="300"/>
      <c r="D112" s="300"/>
      <c r="E112" s="300"/>
      <c r="F112" s="304"/>
    </row>
    <row r="113">
      <c r="A113" s="305"/>
      <c r="B113" s="299"/>
      <c r="C113" s="300"/>
      <c r="D113" s="300"/>
      <c r="E113" s="300"/>
      <c r="F113" s="304"/>
    </row>
    <row r="114">
      <c r="A114" s="305"/>
      <c r="B114" s="299"/>
      <c r="C114" s="300"/>
      <c r="D114" s="300"/>
      <c r="E114" s="300"/>
      <c r="F114" s="304"/>
    </row>
    <row r="115">
      <c r="A115" s="305"/>
      <c r="B115" s="299"/>
      <c r="C115" s="300"/>
      <c r="D115" s="300"/>
      <c r="E115" s="300"/>
      <c r="F115" s="304"/>
    </row>
    <row r="116">
      <c r="A116" s="305"/>
      <c r="B116" s="299"/>
      <c r="C116" s="300"/>
      <c r="D116" s="300"/>
      <c r="E116" s="300"/>
      <c r="F116" s="304"/>
    </row>
    <row r="117">
      <c r="A117" s="305"/>
      <c r="B117" s="299"/>
      <c r="C117" s="300"/>
      <c r="D117" s="300"/>
      <c r="E117" s="300"/>
      <c r="F117" s="304"/>
    </row>
    <row r="118">
      <c r="A118" s="305"/>
      <c r="B118" s="299"/>
      <c r="C118" s="300"/>
      <c r="D118" s="300"/>
      <c r="E118" s="300"/>
      <c r="F118" s="304"/>
    </row>
    <row r="119">
      <c r="A119" s="305"/>
      <c r="B119" s="299"/>
      <c r="C119" s="300"/>
      <c r="D119" s="300"/>
      <c r="E119" s="300"/>
      <c r="F119" s="304"/>
    </row>
    <row r="120">
      <c r="A120" s="305"/>
      <c r="B120" s="299"/>
      <c r="C120" s="300"/>
      <c r="D120" s="300"/>
      <c r="E120" s="300"/>
      <c r="F120" s="304"/>
    </row>
    <row r="121">
      <c r="A121" s="305"/>
      <c r="B121" s="299"/>
      <c r="C121" s="300"/>
      <c r="D121" s="300"/>
      <c r="E121" s="300"/>
      <c r="F121" s="304"/>
    </row>
    <row r="122">
      <c r="A122" s="305"/>
      <c r="B122" s="299"/>
      <c r="C122" s="300"/>
      <c r="D122" s="300"/>
      <c r="E122" s="300"/>
      <c r="F122" s="304"/>
    </row>
    <row r="123">
      <c r="A123" s="305"/>
      <c r="B123" s="299"/>
      <c r="C123" s="300"/>
      <c r="D123" s="300"/>
      <c r="E123" s="300"/>
      <c r="F123" s="304"/>
    </row>
    <row r="124">
      <c r="A124" s="305"/>
      <c r="B124" s="299"/>
      <c r="C124" s="300"/>
      <c r="D124" s="300"/>
      <c r="E124" s="300"/>
      <c r="F124" s="304"/>
    </row>
    <row r="125">
      <c r="A125" s="305"/>
      <c r="B125" s="299"/>
      <c r="C125" s="300"/>
      <c r="D125" s="300"/>
      <c r="E125" s="300"/>
      <c r="F125" s="304"/>
    </row>
    <row r="126">
      <c r="A126" s="305"/>
      <c r="B126" s="299"/>
      <c r="C126" s="300"/>
      <c r="D126" s="300"/>
      <c r="E126" s="300"/>
      <c r="F126" s="304"/>
    </row>
    <row r="127">
      <c r="A127" s="305"/>
      <c r="B127" s="299"/>
      <c r="C127" s="300"/>
      <c r="D127" s="300"/>
      <c r="E127" s="300"/>
      <c r="F127" s="304"/>
    </row>
    <row r="128">
      <c r="A128" s="305"/>
      <c r="B128" s="299"/>
      <c r="C128" s="300"/>
      <c r="D128" s="300"/>
      <c r="E128" s="300"/>
      <c r="F128" s="304"/>
    </row>
    <row r="129">
      <c r="A129" s="305"/>
      <c r="B129" s="299"/>
      <c r="C129" s="300"/>
      <c r="D129" s="300"/>
      <c r="E129" s="300"/>
      <c r="F129" s="304"/>
    </row>
    <row r="130">
      <c r="A130" s="305"/>
      <c r="B130" s="299"/>
      <c r="C130" s="300"/>
      <c r="D130" s="300"/>
      <c r="E130" s="300"/>
      <c r="F130" s="304"/>
    </row>
    <row r="131">
      <c r="A131" s="305"/>
      <c r="B131" s="299"/>
      <c r="C131" s="300"/>
      <c r="D131" s="300"/>
      <c r="E131" s="300"/>
      <c r="F131" s="304"/>
    </row>
    <row r="132">
      <c r="A132" s="305"/>
      <c r="B132" s="299"/>
      <c r="C132" s="300"/>
      <c r="D132" s="300"/>
      <c r="E132" s="300"/>
      <c r="F132" s="304"/>
    </row>
    <row r="133">
      <c r="A133" s="305"/>
      <c r="B133" s="299"/>
      <c r="C133" s="300"/>
      <c r="D133" s="300"/>
      <c r="E133" s="300"/>
      <c r="F133" s="304"/>
    </row>
    <row r="134">
      <c r="A134" s="305"/>
      <c r="B134" s="299"/>
      <c r="C134" s="300"/>
      <c r="D134" s="300"/>
      <c r="E134" s="300"/>
      <c r="F134" s="304"/>
    </row>
    <row r="135">
      <c r="A135" s="305"/>
      <c r="B135" s="299"/>
      <c r="C135" s="300"/>
      <c r="D135" s="300"/>
      <c r="E135" s="300"/>
      <c r="F135" s="304"/>
    </row>
    <row r="136">
      <c r="A136" s="305"/>
      <c r="B136" s="299"/>
      <c r="C136" s="300"/>
      <c r="D136" s="300"/>
      <c r="E136" s="300"/>
      <c r="F136" s="304"/>
    </row>
    <row r="137">
      <c r="A137" s="305"/>
      <c r="B137" s="299"/>
      <c r="C137" s="300"/>
      <c r="D137" s="300"/>
      <c r="E137" s="300"/>
      <c r="F137" s="304"/>
    </row>
    <row r="138">
      <c r="A138" s="305"/>
      <c r="B138" s="299"/>
      <c r="C138" s="300"/>
      <c r="D138" s="300"/>
      <c r="E138" s="300"/>
      <c r="F138" s="304"/>
    </row>
    <row r="139">
      <c r="A139" s="305"/>
      <c r="B139" s="299"/>
      <c r="C139" s="300"/>
      <c r="D139" s="300"/>
      <c r="E139" s="300"/>
      <c r="F139" s="304"/>
    </row>
    <row r="140">
      <c r="A140" s="305"/>
      <c r="B140" s="299"/>
      <c r="C140" s="300"/>
      <c r="D140" s="300"/>
      <c r="E140" s="300"/>
      <c r="F140" s="304"/>
    </row>
    <row r="141">
      <c r="A141" s="305"/>
      <c r="B141" s="299"/>
      <c r="C141" s="300"/>
      <c r="D141" s="300"/>
      <c r="E141" s="300"/>
      <c r="F141" s="304"/>
    </row>
    <row r="142">
      <c r="A142" s="305"/>
      <c r="B142" s="299"/>
      <c r="C142" s="300"/>
      <c r="D142" s="300"/>
      <c r="E142" s="300"/>
      <c r="F142" s="304"/>
    </row>
    <row r="143">
      <c r="A143" s="305"/>
      <c r="B143" s="299"/>
      <c r="C143" s="300"/>
      <c r="D143" s="300"/>
      <c r="E143" s="300"/>
      <c r="F143" s="304"/>
    </row>
    <row r="144">
      <c r="A144" s="305"/>
      <c r="B144" s="299"/>
      <c r="C144" s="300"/>
      <c r="D144" s="300"/>
      <c r="E144" s="300"/>
      <c r="F144" s="304"/>
    </row>
    <row r="145">
      <c r="A145" s="305"/>
      <c r="B145" s="299"/>
      <c r="C145" s="300"/>
      <c r="D145" s="300"/>
      <c r="E145" s="300"/>
      <c r="F145" s="304"/>
    </row>
    <row r="146">
      <c r="A146" s="305"/>
      <c r="B146" s="299"/>
      <c r="C146" s="300"/>
      <c r="D146" s="300"/>
      <c r="E146" s="300"/>
      <c r="F146" s="304"/>
    </row>
    <row r="147">
      <c r="A147" s="305"/>
      <c r="B147" s="299"/>
      <c r="C147" s="300"/>
      <c r="D147" s="300"/>
      <c r="E147" s="300"/>
      <c r="F147" s="304"/>
    </row>
    <row r="148">
      <c r="A148" s="305"/>
      <c r="B148" s="299"/>
      <c r="C148" s="300"/>
      <c r="D148" s="300"/>
      <c r="E148" s="300"/>
      <c r="F148" s="304"/>
    </row>
    <row r="149">
      <c r="A149" s="305"/>
      <c r="B149" s="299"/>
      <c r="C149" s="300"/>
      <c r="D149" s="300"/>
      <c r="E149" s="300"/>
      <c r="F149" s="304"/>
    </row>
    <row r="150">
      <c r="A150" s="305"/>
      <c r="B150" s="299"/>
      <c r="C150" s="300"/>
      <c r="D150" s="300"/>
      <c r="E150" s="300"/>
      <c r="F150" s="304"/>
    </row>
    <row r="151">
      <c r="A151" s="305"/>
      <c r="B151" s="299"/>
      <c r="C151" s="300"/>
      <c r="D151" s="300"/>
      <c r="E151" s="300"/>
      <c r="F151" s="304"/>
    </row>
    <row r="152">
      <c r="A152" s="305"/>
      <c r="B152" s="299"/>
      <c r="C152" s="300"/>
      <c r="D152" s="300"/>
      <c r="E152" s="300"/>
      <c r="F152" s="304"/>
    </row>
    <row r="153">
      <c r="A153" s="305"/>
      <c r="B153" s="299"/>
      <c r="C153" s="300"/>
      <c r="D153" s="300"/>
      <c r="E153" s="300"/>
      <c r="F153" s="304"/>
    </row>
    <row r="154">
      <c r="A154" s="305"/>
      <c r="B154" s="299"/>
      <c r="C154" s="300"/>
      <c r="D154" s="300"/>
      <c r="E154" s="300"/>
      <c r="F154" s="304"/>
    </row>
    <row r="155">
      <c r="A155" s="305"/>
      <c r="B155" s="299"/>
      <c r="C155" s="300"/>
      <c r="D155" s="300"/>
      <c r="E155" s="300"/>
      <c r="F155" s="304"/>
    </row>
    <row r="156">
      <c r="A156" s="305"/>
      <c r="B156" s="299"/>
      <c r="C156" s="300"/>
      <c r="D156" s="300"/>
      <c r="E156" s="300"/>
      <c r="F156" s="304"/>
    </row>
    <row r="157">
      <c r="A157" s="305"/>
      <c r="B157" s="299"/>
      <c r="C157" s="300"/>
      <c r="D157" s="300"/>
      <c r="E157" s="300"/>
      <c r="F157" s="304"/>
    </row>
    <row r="158">
      <c r="A158" s="305"/>
      <c r="B158" s="299"/>
      <c r="C158" s="300"/>
      <c r="D158" s="300"/>
      <c r="E158" s="300"/>
      <c r="F158" s="304"/>
    </row>
    <row r="159">
      <c r="A159" s="305"/>
      <c r="B159" s="299"/>
      <c r="C159" s="300"/>
      <c r="D159" s="300"/>
      <c r="E159" s="300"/>
      <c r="F159" s="304"/>
    </row>
    <row r="160">
      <c r="A160" s="305"/>
      <c r="B160" s="299"/>
      <c r="C160" s="300"/>
      <c r="D160" s="300"/>
      <c r="E160" s="300"/>
      <c r="F160" s="304"/>
    </row>
    <row r="161">
      <c r="A161" s="305"/>
      <c r="B161" s="299"/>
      <c r="C161" s="300"/>
      <c r="D161" s="300"/>
      <c r="E161" s="300"/>
      <c r="F161" s="304"/>
    </row>
    <row r="162">
      <c r="A162" s="305"/>
      <c r="B162" s="299"/>
      <c r="C162" s="300"/>
      <c r="D162" s="300"/>
      <c r="E162" s="300"/>
      <c r="F162" s="304"/>
    </row>
    <row r="163">
      <c r="A163" s="305"/>
      <c r="B163" s="299"/>
      <c r="C163" s="300"/>
      <c r="D163" s="300"/>
      <c r="E163" s="300"/>
      <c r="F163" s="304"/>
    </row>
    <row r="164">
      <c r="A164" s="305"/>
      <c r="B164" s="299"/>
      <c r="C164" s="300"/>
      <c r="D164" s="300"/>
      <c r="E164" s="300"/>
      <c r="F164" s="304"/>
    </row>
    <row r="165">
      <c r="A165" s="305"/>
      <c r="B165" s="299"/>
      <c r="C165" s="300"/>
      <c r="D165" s="300"/>
      <c r="E165" s="300"/>
      <c r="F165" s="304"/>
    </row>
    <row r="166">
      <c r="A166" s="305"/>
      <c r="B166" s="299"/>
      <c r="C166" s="300"/>
      <c r="D166" s="300"/>
      <c r="E166" s="300"/>
      <c r="F166" s="304"/>
    </row>
    <row r="167">
      <c r="A167" s="305"/>
      <c r="B167" s="299"/>
      <c r="C167" s="300"/>
      <c r="D167" s="300"/>
      <c r="E167" s="300"/>
      <c r="F167" s="304"/>
    </row>
    <row r="168">
      <c r="A168" s="305"/>
      <c r="B168" s="299"/>
      <c r="C168" s="300"/>
      <c r="D168" s="300"/>
      <c r="E168" s="300"/>
      <c r="F168" s="304"/>
    </row>
    <row r="169">
      <c r="A169" s="305"/>
      <c r="B169" s="299"/>
      <c r="C169" s="300"/>
      <c r="D169" s="300"/>
      <c r="E169" s="300"/>
      <c r="F169" s="304"/>
    </row>
    <row r="170">
      <c r="A170" s="305"/>
      <c r="B170" s="299"/>
      <c r="C170" s="300"/>
      <c r="D170" s="300"/>
      <c r="E170" s="300"/>
      <c r="F170" s="304"/>
    </row>
    <row r="171">
      <c r="A171" s="305"/>
      <c r="B171" s="299"/>
      <c r="C171" s="300"/>
      <c r="D171" s="300"/>
      <c r="E171" s="300"/>
      <c r="F171" s="304"/>
    </row>
    <row r="172">
      <c r="A172" s="305"/>
      <c r="B172" s="299"/>
      <c r="C172" s="300"/>
      <c r="D172" s="300"/>
      <c r="E172" s="300"/>
      <c r="F172" s="304"/>
    </row>
    <row r="173">
      <c r="A173" s="305"/>
      <c r="B173" s="299"/>
      <c r="C173" s="300"/>
      <c r="D173" s="300"/>
      <c r="E173" s="300"/>
      <c r="F173" s="304"/>
    </row>
    <row r="174">
      <c r="A174" s="305"/>
      <c r="B174" s="299"/>
      <c r="C174" s="300"/>
      <c r="D174" s="300"/>
      <c r="E174" s="300"/>
      <c r="F174" s="304"/>
    </row>
    <row r="175">
      <c r="A175" s="305"/>
      <c r="B175" s="299"/>
      <c r="C175" s="300"/>
      <c r="D175" s="300"/>
      <c r="E175" s="300"/>
      <c r="F175" s="304"/>
    </row>
    <row r="176">
      <c r="A176" s="305"/>
      <c r="B176" s="299"/>
      <c r="C176" s="300"/>
      <c r="D176" s="300"/>
      <c r="E176" s="300"/>
      <c r="F176" s="304"/>
    </row>
    <row r="177">
      <c r="A177" s="305"/>
      <c r="B177" s="299"/>
      <c r="C177" s="300"/>
      <c r="D177" s="300"/>
      <c r="E177" s="300"/>
      <c r="F177" s="304"/>
    </row>
    <row r="178">
      <c r="A178" s="305"/>
      <c r="B178" s="299"/>
      <c r="C178" s="300"/>
      <c r="D178" s="300"/>
      <c r="E178" s="300"/>
      <c r="F178" s="304"/>
    </row>
    <row r="179">
      <c r="A179" s="305"/>
      <c r="B179" s="299"/>
      <c r="C179" s="300"/>
      <c r="D179" s="300"/>
      <c r="E179" s="300"/>
      <c r="F179" s="304"/>
    </row>
    <row r="180">
      <c r="A180" s="305"/>
      <c r="B180" s="299"/>
      <c r="C180" s="300"/>
      <c r="D180" s="300"/>
      <c r="E180" s="300"/>
      <c r="F180" s="304"/>
    </row>
    <row r="181">
      <c r="A181" s="305"/>
      <c r="B181" s="299"/>
      <c r="C181" s="300"/>
      <c r="D181" s="300"/>
      <c r="E181" s="300"/>
      <c r="F181" s="304"/>
    </row>
    <row r="182">
      <c r="A182" s="305"/>
      <c r="B182" s="299"/>
      <c r="C182" s="300"/>
      <c r="D182" s="300"/>
      <c r="E182" s="300"/>
      <c r="F182" s="304"/>
    </row>
    <row r="183">
      <c r="A183" s="305"/>
      <c r="B183" s="299"/>
      <c r="C183" s="300"/>
      <c r="D183" s="300"/>
      <c r="E183" s="300"/>
      <c r="F183" s="304"/>
    </row>
    <row r="184">
      <c r="A184" s="305"/>
      <c r="B184" s="299"/>
      <c r="C184" s="300"/>
      <c r="D184" s="300"/>
      <c r="E184" s="300"/>
      <c r="F184" s="304"/>
    </row>
    <row r="185">
      <c r="A185" s="305"/>
      <c r="B185" s="299"/>
      <c r="C185" s="300"/>
      <c r="D185" s="300"/>
      <c r="E185" s="300"/>
      <c r="F185" s="304"/>
    </row>
    <row r="186">
      <c r="A186" s="305"/>
      <c r="B186" s="299"/>
      <c r="C186" s="300"/>
      <c r="D186" s="300"/>
      <c r="E186" s="300"/>
      <c r="F186" s="304"/>
    </row>
    <row r="187">
      <c r="A187" s="305"/>
      <c r="B187" s="299"/>
      <c r="C187" s="300"/>
      <c r="D187" s="300"/>
      <c r="E187" s="300"/>
      <c r="F187" s="304"/>
    </row>
    <row r="188">
      <c r="A188" s="305"/>
      <c r="B188" s="299"/>
      <c r="C188" s="300"/>
      <c r="D188" s="300"/>
      <c r="E188" s="300"/>
      <c r="F188" s="304"/>
    </row>
    <row r="189">
      <c r="A189" s="305"/>
      <c r="B189" s="299"/>
      <c r="C189" s="300"/>
      <c r="D189" s="300"/>
      <c r="E189" s="300"/>
      <c r="F189" s="304"/>
    </row>
    <row r="190">
      <c r="A190" s="305"/>
      <c r="B190" s="299"/>
      <c r="C190" s="300"/>
      <c r="D190" s="300"/>
      <c r="E190" s="300"/>
      <c r="F190" s="304"/>
    </row>
    <row r="191">
      <c r="A191" s="305"/>
      <c r="B191" s="299"/>
      <c r="C191" s="300"/>
      <c r="D191" s="300"/>
      <c r="E191" s="300"/>
      <c r="F191" s="304"/>
    </row>
    <row r="192">
      <c r="A192" s="305"/>
      <c r="B192" s="299"/>
      <c r="C192" s="300"/>
      <c r="D192" s="300"/>
      <c r="E192" s="300"/>
      <c r="F192" s="304"/>
    </row>
    <row r="193">
      <c r="A193" s="305"/>
      <c r="B193" s="299"/>
      <c r="C193" s="300"/>
      <c r="D193" s="300"/>
      <c r="E193" s="300"/>
      <c r="F193" s="304"/>
    </row>
    <row r="194">
      <c r="A194" s="305"/>
      <c r="B194" s="299"/>
      <c r="C194" s="300"/>
      <c r="D194" s="300"/>
      <c r="E194" s="300"/>
      <c r="F194" s="304"/>
    </row>
    <row r="195">
      <c r="A195" s="305"/>
      <c r="B195" s="299"/>
      <c r="C195" s="300"/>
      <c r="D195" s="300"/>
      <c r="E195" s="300"/>
      <c r="F195" s="304"/>
    </row>
    <row r="196">
      <c r="A196" s="305"/>
      <c r="B196" s="299"/>
      <c r="C196" s="300"/>
      <c r="D196" s="300"/>
      <c r="E196" s="300"/>
      <c r="F196" s="304"/>
    </row>
    <row r="197">
      <c r="A197" s="305"/>
      <c r="B197" s="299"/>
      <c r="C197" s="300"/>
      <c r="D197" s="300"/>
      <c r="E197" s="300"/>
      <c r="F197" s="304"/>
    </row>
    <row r="198">
      <c r="A198" s="305"/>
      <c r="B198" s="299"/>
      <c r="C198" s="300"/>
      <c r="D198" s="300"/>
      <c r="E198" s="300"/>
      <c r="F198" s="304"/>
    </row>
    <row r="199">
      <c r="A199" s="305"/>
      <c r="B199" s="299"/>
      <c r="C199" s="300"/>
      <c r="D199" s="300"/>
      <c r="E199" s="300"/>
      <c r="F199" s="304"/>
    </row>
    <row r="200">
      <c r="A200" s="305"/>
      <c r="B200" s="299"/>
      <c r="C200" s="300"/>
      <c r="D200" s="300"/>
      <c r="E200" s="300"/>
      <c r="F200" s="304"/>
    </row>
  </sheetData>
  <mergeCells>
    <mergeCell ref="A1:F1"/>
  </mergeCell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8" min="8" style="0" width="14"/>
    <col collapsed="false" customWidth="true" hidden="false" max="12" min="12" style="0" width="14"/>
    <col collapsed="false" customWidth="true" hidden="false" max="16" min="16" style="0" width="14"/>
    <col collapsed="false" customWidth="true" hidden="false" max="20" min="20" style="0" width="14"/>
    <col collapsed="false" customWidth="true" hidden="false" max="4" min="4" style="0" width="57"/>
    <col collapsed="false" customWidth="true" hidden="false" max="5" min="5" style="0" width="25"/>
    <col collapsed="false" customWidth="true" hidden="false" max="9" min="9" style="0" width="14"/>
    <col collapsed="false" customWidth="true" hidden="false" max="13" min="13" style="0" width="14"/>
    <col collapsed="false" customWidth="true" hidden="false" max="17" min="17" style="0" width="14"/>
    <col collapsed="false" customWidth="true" hidden="false" max="1" min="1" style="0" width="19"/>
    <col collapsed="false" customWidth="true" hidden="false" max="6" min="6" style="0" width="14"/>
    <col collapsed="false" customWidth="true" hidden="false" max="10" min="10" style="0" width="14"/>
    <col collapsed="false" customWidth="true" hidden="false" max="14" min="14" style="0" width="14"/>
    <col collapsed="false" customWidth="true" hidden="false" max="18" min="18" style="0" width="14"/>
    <col collapsed="false" customWidth="true" hidden="false" max="2" min="2" style="0" width="19"/>
    <col collapsed="false" customWidth="true" hidden="false" max="7" min="7" style="0" width="14"/>
    <col collapsed="false" customWidth="true" hidden="false" max="11" min="11" style="0" width="14"/>
    <col collapsed="false" customWidth="true" hidden="false" max="15" min="15" style="0" width="14"/>
    <col collapsed="false" customWidth="true" hidden="false" max="19" min="19" style="0" width="14"/>
    <col collapsed="false" customWidth="true" hidden="false" max="3" min="3" style="0" width="57"/>
  </cols>
  <sheetData>
    <row r="1">
      <c r="A1" s="306" t="s">
        <v>217</v>
      </c>
      <c r="B1" s="306" t="s">
        <v>218</v>
      </c>
      <c r="C1" s="306" t="s">
        <v>219</v>
      </c>
      <c r="D1" s="306" t="s">
        <v>220</v>
      </c>
      <c r="E1" s="307"/>
    </row>
    <row r="2">
      <c r="A2" s="308">
        <v>46185</v>
      </c>
      <c r="B2" s="306" t="s">
        <v>221</v>
      </c>
      <c r="C2" s="306" t="s">
        <v>222</v>
      </c>
      <c r="D2" s="306" t="s">
        <v>223</v>
      </c>
      <c r="E2" s="309"/>
    </row>
    <row r="3">
      <c r="A3" s="308"/>
      <c r="B3" s="306" t="s">
        <v>224</v>
      </c>
      <c r="C3" s="306" t="s">
        <v>225</v>
      </c>
      <c r="D3" s="306" t="s">
        <v>223</v>
      </c>
      <c r="E3" s="309"/>
    </row>
    <row r="4">
      <c r="A4" s="308"/>
      <c r="B4" s="306" t="s">
        <v>226</v>
      </c>
      <c r="C4" s="306" t="s">
        <v>227</v>
      </c>
      <c r="D4" s="306" t="s">
        <v>223</v>
      </c>
      <c r="E4" s="309"/>
    </row>
    <row r="5">
      <c r="A5" s="308"/>
      <c r="B5" s="306" t="s">
        <v>228</v>
      </c>
      <c r="C5" s="306" t="s">
        <v>229</v>
      </c>
      <c r="D5" s="306" t="s">
        <v>223</v>
      </c>
      <c r="E5" s="309"/>
    </row>
    <row r="6">
      <c r="A6" s="308"/>
      <c r="B6" s="306" t="s">
        <v>230</v>
      </c>
      <c r="C6" s="306" t="s">
        <v>231</v>
      </c>
      <c r="D6" s="306" t="s">
        <v>223</v>
      </c>
      <c r="E6" s="309"/>
    </row>
    <row r="7">
      <c r="A7" s="308"/>
      <c r="B7" s="306" t="s">
        <v>232</v>
      </c>
      <c r="C7" s="306" t="s">
        <v>233</v>
      </c>
      <c r="D7" s="306" t="s">
        <v>223</v>
      </c>
      <c r="E7" s="309"/>
    </row>
    <row r="8">
      <c r="A8" s="308"/>
      <c r="B8" s="306" t="s">
        <v>234</v>
      </c>
      <c r="C8" s="306" t="s">
        <v>235</v>
      </c>
      <c r="D8" s="306" t="s">
        <v>223</v>
      </c>
      <c r="E8" s="309"/>
    </row>
    <row r="9">
      <c r="A9" s="308"/>
      <c r="B9" s="306" t="s">
        <v>236</v>
      </c>
      <c r="C9" s="306" t="s">
        <v>237</v>
      </c>
      <c r="D9" s="306" t="s">
        <v>223</v>
      </c>
      <c r="E9" s="309"/>
    </row>
    <row r="10">
      <c r="A10" s="308">
        <v>46186</v>
      </c>
      <c r="B10" s="306" t="s">
        <v>226</v>
      </c>
      <c r="C10" s="306" t="s">
        <v>238</v>
      </c>
      <c r="D10" s="306" t="s">
        <v>223</v>
      </c>
      <c r="E10" s="309"/>
    </row>
    <row r="11">
      <c r="A11" s="308"/>
      <c r="B11" s="306"/>
      <c r="C11" s="306" t="s">
        <v>239</v>
      </c>
      <c r="D11" s="306" t="s">
        <v>223</v>
      </c>
      <c r="E11" s="309"/>
    </row>
    <row r="12">
      <c r="A12" s="308"/>
      <c r="B12" s="306" t="s">
        <v>228</v>
      </c>
      <c r="C12" s="306" t="s">
        <v>240</v>
      </c>
      <c r="D12" s="306" t="s">
        <v>223</v>
      </c>
      <c r="E12" s="309"/>
    </row>
    <row r="13">
      <c r="A13" s="308"/>
      <c r="B13" s="306"/>
      <c r="C13" s="306" t="s">
        <v>241</v>
      </c>
      <c r="D13" s="306" t="s">
        <v>223</v>
      </c>
      <c r="E13" s="309"/>
    </row>
    <row r="14">
      <c r="A14" s="308"/>
      <c r="B14" s="306" t="s">
        <v>230</v>
      </c>
      <c r="C14" s="306" t="s">
        <v>242</v>
      </c>
      <c r="D14" s="306" t="s">
        <v>223</v>
      </c>
      <c r="E14" s="309"/>
    </row>
    <row r="15">
      <c r="A15" s="308"/>
      <c r="B15" s="306"/>
      <c r="C15" s="306" t="s">
        <v>243</v>
      </c>
      <c r="D15" s="306" t="s">
        <v>223</v>
      </c>
      <c r="E15" s="309"/>
    </row>
    <row r="16">
      <c r="A16" s="308"/>
      <c r="B16" s="306" t="s">
        <v>232</v>
      </c>
      <c r="C16" s="306" t="s">
        <v>244</v>
      </c>
      <c r="D16" s="306" t="s">
        <v>223</v>
      </c>
      <c r="E16" s="309"/>
    </row>
    <row r="17">
      <c r="A17" s="310"/>
      <c r="B17" s="311"/>
      <c r="C17" s="311" t="s">
        <v>245</v>
      </c>
      <c r="D17" s="311" t="s">
        <v>223</v>
      </c>
      <c r="E17" s="309"/>
    </row>
    <row r="18">
      <c r="A18" s="312">
        <v>46187</v>
      </c>
      <c r="B18" s="313" t="s">
        <v>221</v>
      </c>
      <c r="C18" s="313" t="s">
        <v>246</v>
      </c>
      <c r="D18" s="314"/>
      <c r="E18" s="315"/>
    </row>
    <row r="19">
      <c r="A19" s="312"/>
      <c r="B19" s="313"/>
      <c r="C19" s="314" t="s">
        <v>247</v>
      </c>
      <c r="D19" s="313" t="s">
        <v>223</v>
      </c>
      <c r="E19" s="315"/>
    </row>
    <row r="20">
      <c r="A20" s="312"/>
      <c r="B20" s="313"/>
      <c r="C20" s="314" t="s">
        <v>248</v>
      </c>
      <c r="D20" s="313" t="s">
        <v>223</v>
      </c>
      <c r="E20" s="315"/>
    </row>
    <row customHeight="true" ht="19" r="21">
      <c r="A21" s="312"/>
      <c r="B21" s="313"/>
      <c r="C21" s="313"/>
      <c r="D21" s="314"/>
      <c r="E21" s="315"/>
    </row>
    <row r="22">
      <c r="A22" s="312"/>
      <c r="B22" s="313" t="s">
        <v>224</v>
      </c>
      <c r="C22" s="313" t="s">
        <v>249</v>
      </c>
      <c r="D22" s="314"/>
      <c r="E22" s="315"/>
    </row>
    <row r="23">
      <c r="A23" s="312"/>
      <c r="B23" s="313"/>
      <c r="C23" s="314" t="s">
        <v>250</v>
      </c>
      <c r="D23" s="313" t="s">
        <v>223</v>
      </c>
      <c r="E23" s="315"/>
    </row>
    <row r="24">
      <c r="A24" s="312"/>
      <c r="B24" s="313"/>
      <c r="C24" s="314" t="s">
        <v>251</v>
      </c>
      <c r="D24" s="313" t="s">
        <v>223</v>
      </c>
      <c r="E24" s="315"/>
    </row>
    <row r="25">
      <c r="A25" s="312"/>
      <c r="B25" s="313"/>
      <c r="C25" s="314"/>
      <c r="D25" s="314"/>
      <c r="E25" s="315"/>
    </row>
    <row r="26">
      <c r="A26" s="312"/>
      <c r="B26" s="313" t="s">
        <v>226</v>
      </c>
      <c r="C26" s="314" t="s">
        <v>252</v>
      </c>
      <c r="D26" s="314"/>
      <c r="E26" s="315"/>
    </row>
    <row r="27">
      <c r="A27" s="312"/>
      <c r="B27" s="313"/>
      <c r="C27" s="314" t="s">
        <v>253</v>
      </c>
      <c r="D27" s="313" t="s">
        <v>223</v>
      </c>
      <c r="E27" s="315"/>
    </row>
    <row r="28">
      <c r="A28" s="312"/>
      <c r="B28" s="313"/>
      <c r="C28" s="314" t="s">
        <v>254</v>
      </c>
      <c r="D28" s="313" t="s">
        <v>223</v>
      </c>
      <c r="E28" s="315"/>
    </row>
    <row r="29">
      <c r="A29" s="312"/>
      <c r="B29" s="313"/>
      <c r="C29" s="314" t="s">
        <v>255</v>
      </c>
      <c r="D29" s="313" t="s">
        <v>223</v>
      </c>
      <c r="E29" s="315"/>
    </row>
    <row r="30">
      <c r="A30" s="312"/>
      <c r="B30" s="313"/>
      <c r="C30" s="314"/>
      <c r="D30" s="314"/>
      <c r="E30" s="315"/>
    </row>
    <row r="31">
      <c r="A31" s="312"/>
      <c r="B31" s="313" t="s">
        <v>228</v>
      </c>
      <c r="C31" s="314" t="s">
        <v>256</v>
      </c>
      <c r="D31" s="314"/>
      <c r="E31" s="315"/>
    </row>
    <row r="32">
      <c r="A32" s="312"/>
      <c r="B32" s="313"/>
      <c r="C32" s="313" t="s">
        <v>257</v>
      </c>
      <c r="D32" s="313" t="s">
        <v>223</v>
      </c>
      <c r="E32" s="315"/>
    </row>
    <row r="33">
      <c r="A33" s="312"/>
      <c r="B33" s="313"/>
      <c r="C33" s="314" t="s">
        <v>258</v>
      </c>
      <c r="D33" s="313" t="s">
        <v>223</v>
      </c>
      <c r="E33" s="315"/>
    </row>
    <row r="34">
      <c r="A34" s="312"/>
      <c r="B34" s="313"/>
      <c r="C34" s="314" t="s">
        <v>259</v>
      </c>
      <c r="D34" s="313" t="s">
        <v>223</v>
      </c>
      <c r="E34" s="315"/>
    </row>
    <row r="35">
      <c r="A35" s="312"/>
      <c r="B35" s="313" t="s">
        <v>230</v>
      </c>
      <c r="C35" s="313" t="s">
        <v>260</v>
      </c>
      <c r="D35" s="313" t="s">
        <v>223</v>
      </c>
      <c r="E35" s="315"/>
    </row>
    <row r="36">
      <c r="A36" s="312"/>
      <c r="B36" s="313" t="s">
        <v>232</v>
      </c>
      <c r="C36" s="313" t="s">
        <v>261</v>
      </c>
      <c r="D36" s="313" t="s">
        <v>223</v>
      </c>
      <c r="E36" s="315"/>
    </row>
    <row r="37">
      <c r="A37" s="312"/>
      <c r="B37" s="313" t="s">
        <v>234</v>
      </c>
      <c r="C37" s="313" t="s">
        <v>262</v>
      </c>
      <c r="D37" s="313" t="s">
        <v>223</v>
      </c>
      <c r="E37" s="315"/>
    </row>
    <row r="38">
      <c r="A38" s="312"/>
      <c r="B38" s="313" t="s">
        <v>236</v>
      </c>
      <c r="C38" s="313" t="s">
        <v>263</v>
      </c>
      <c r="D38" s="313" t="s">
        <v>223</v>
      </c>
      <c r="E38" s="315"/>
    </row>
    <row r="39">
      <c r="A39" s="315"/>
      <c r="B39" s="315"/>
      <c r="C39" s="315"/>
      <c r="D39" s="315"/>
    </row>
  </sheetData>
  <mergeCells>
    <mergeCell ref="A2:A9"/>
    <mergeCell ref="A10:A17"/>
    <mergeCell ref="B10:B11"/>
    <mergeCell ref="B12:B13"/>
    <mergeCell ref="B14:B15"/>
    <mergeCell ref="B16:B17"/>
    <mergeCell ref="A18:A38"/>
    <mergeCell ref="B18:B21"/>
    <mergeCell ref="B22:B25"/>
    <mergeCell ref="B26:B30"/>
    <mergeCell ref="B31:B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